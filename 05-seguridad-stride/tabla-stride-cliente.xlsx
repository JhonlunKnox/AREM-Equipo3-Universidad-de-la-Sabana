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55a837a0d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DE" sheetId="1" r:id="R4c651261d16f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FFFFFF"/>
      <x:name val="Arial"/>
    </x:font>
    <x:font>
      <x:i/>
      <x:sz val="9"/>
      <x:color rgb="FF404040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200" fontId="1" fillId="0" borderId="4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c29c869c44ed0" /><Relationship Type="http://schemas.openxmlformats.org/officeDocument/2006/relationships/theme" Target="/xl/theme/theme1.xml" Id="R429a7d3838ad48db" /><Relationship Type="http://schemas.openxmlformats.org/officeDocument/2006/relationships/sharedStrings" Target="/xl/sharedStrings.xml" Id="Rb15a7762184d4155" /><Relationship Type="http://schemas.openxmlformats.org/officeDocument/2006/relationships/worksheet" Target="/xl/worksheets/sheet1.xml" Id="R4c651261d16f4165" /></Relationships>
</file>

<file path=xl/tables/table1.xml><?xml version="1.0" encoding="utf-8"?>
<x:table xmlns:x="http://schemas.openxmlformats.org/spreadsheetml/2006/main" id="1" name="StrideTable" displayName="StrideTable" ref="A8:T27" headerRowCount="1" totalsRowCount="0" totalsRowShown="0">
  <x:autoFilter ref="A8:T27"/>
  <x:tableColumns count="20">
    <x:tableColumn id="1" name="ID"/>
    <x:tableColumn id="2" name="Categoría STRIDE"/>
    <x:tableColumn id="3" name="Activo o flujo"/>
    <x:tableColumn id="4" name="Escenario de amenaza"/>
    <x:tableColumn id="5" name="Causa / vector"/>
    <x:tableColumn id="6" name="Consecuencia"/>
    <x:tableColumn id="7" name="Control actual"/>
    <x:tableColumn id="8" name="Control propuesto"/>
    <x:tableColumn id="9" name="Probabilidad (1-5)"/>
    <x:tableColumn id="10" name="Impacto (1-5)"/>
    <x:tableColumn id="11" name="Puntaje inherente"/>
    <x:tableColumn id="12" name="Nivel inherente"/>
    <x:tableColumn id="13" name="Estado del control"/>
    <x:tableColumn id="14" name="Responsable"/>
    <x:tableColumn id="15" name="Probabilidad residual (1-5)"/>
    <x:tableColumn id="16" name="Impacto residual (1-5)"/>
    <x:tableColumn id="17" name="Puntaje residual"/>
    <x:tableColumn id="18" name="Nivel residual"/>
    <x:tableColumn id="19" name="Evidencia / validación"/>
    <x:tableColumn id="20" name="Tratami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0e3d4b328a4f38" /></Relationships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4" hidden="0" customWidth="1"/>
    <x:col min="4" max="4" width="39" hidden="0" customWidth="1"/>
    <x:col min="5" max="5" width="33" hidden="0" customWidth="1"/>
    <x:col min="6" max="6" width="35" hidden="0" customWidth="1"/>
    <x:col min="7" max="7" width="33" hidden="0" customWidth="1"/>
    <x:col min="8" max="8" width="40" hidden="0" customWidth="1"/>
    <x:col min="9" max="9" width="14" hidden="0" customWidth="1"/>
    <x:col min="10" max="10" width="14" hidden="0" customWidth="1"/>
    <x:col min="11" max="11" width="13" hidden="0" customWidth="1"/>
    <x:col min="12" max="12" width="15" hidden="0" customWidth="1"/>
    <x:col min="13" max="13" width="16" hidden="0" customWidth="1"/>
    <x:col min="14" max="14" width="24" hidden="0" customWidth="1"/>
    <x:col min="15" max="15" width="14" hidden="0" customWidth="1"/>
    <x:col min="16" max="16" width="14" hidden="0" customWidth="1"/>
    <x:col min="17" max="17" width="13" hidden="0" customWidth="1"/>
    <x:col min="18" max="18" width="15" hidden="0" customWidth="1"/>
    <x:col min="19" max="19" width="34" hidden="0" customWidth="1"/>
    <x:col min="20" max="2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5" t="str">
        <x:v>Matriz STRIDE — Directorio de extensiones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34" customHeight="1">
      <x:c r="A3" s="8" t="str">
        <x:v>Evaluación preliminar del escenario objetivo. Los controles, responsables, probabilidades y evidencias deben validarse con Tecnología, Seguridad y la dueña del proceso antes de cerrar el diseño.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</x:row>
    <x:row r="4">
      <x:c r="A4" s="13" t="str">
        <x:v>Amenazas</x:v>
      </x:c>
      <x:c r="B4" s="15" t="n">
        <x:f>COUNTA(A9:A27)</x:f>
        <x:v>19</x:v>
      </x:c>
      <x:c r="C4" s="16" t="str"/>
      <x:c r="D4" s="17" t="str">
        <x:v>Inherente alto/crítico</x:v>
      </x:c>
      <x:c r="E4" s="15" t="n">
        <x:f>COUNTIF(L9:L27,"Alto")+COUNTIF(L9:L27,"Crítico")</x:f>
        <x:v>18</x:v>
      </x:c>
      <x:c r="F4" s="2" t="str"/>
      <x:c r="G4" s="13" t="str">
        <x:v>Residual alto/crítico</x:v>
      </x:c>
      <x:c r="H4" s="15" t="n">
        <x:f>COUNTIF(R9:R27,"Alto")+COUNTIF(R9:R27,"Crítico")</x:f>
        <x:v>1</x:v>
      </x:c>
      <x:c r="I4" s="16" t="str"/>
      <x:c r="J4" s="17" t="str">
        <x:v>Controles por validar</x:v>
      </x:c>
      <x:c r="K4" s="15" t="n">
        <x:f>COUNTIF(M9:M27,"Por validar")</x:f>
        <x:v>8</x:v>
      </x:c>
      <x:c r="L4" s="2"/>
      <x:c r="M4" s="2"/>
      <x:c r="N4" s="2"/>
      <x:c r="O4" s="2"/>
      <x:c r="P4" s="2"/>
      <x:c r="Q4" s="2"/>
      <x:c r="R4" s="2"/>
      <x:c r="S4" s="2"/>
      <x:c r="T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42" customHeight="1">
      <x:c r="A8" s="21" t="str">
        <x:v>ID</x:v>
      </x:c>
      <x:c r="B8" s="21" t="str">
        <x:v>Categoría STRIDE</x:v>
      </x:c>
      <x:c r="C8" s="21" t="str">
        <x:v>Activo o flujo</x:v>
      </x:c>
      <x:c r="D8" s="21" t="str">
        <x:v>Escenario de amenaza</x:v>
      </x:c>
      <x:c r="E8" s="21" t="str">
        <x:v>Causa / vector</x:v>
      </x:c>
      <x:c r="F8" s="21" t="str">
        <x:v>Consecuencia</x:v>
      </x:c>
      <x:c r="G8" s="21" t="str">
        <x:v>Control actual</x:v>
      </x:c>
      <x:c r="H8" s="21" t="str">
        <x:v>Control propuesto</x:v>
      </x:c>
      <x:c r="I8" s="21" t="str">
        <x:v>Probabilidad (1-5)</x:v>
      </x:c>
      <x:c r="J8" s="21" t="str">
        <x:v>Impacto (1-5)</x:v>
      </x:c>
      <x:c r="K8" s="21" t="str">
        <x:v>Puntaje inherente</x:v>
      </x:c>
      <x:c r="L8" s="21" t="str">
        <x:v>Nivel inherente</x:v>
      </x:c>
      <x:c r="M8" s="21" t="str">
        <x:v>Estado del control</x:v>
      </x:c>
      <x:c r="N8" s="21" t="str">
        <x:v>Responsable</x:v>
      </x:c>
      <x:c r="O8" s="21" t="str">
        <x:v>Probabilidad residual (1-5)</x:v>
      </x:c>
      <x:c r="P8" s="21" t="str">
        <x:v>Impacto residual (1-5)</x:v>
      </x:c>
      <x:c r="Q8" s="21" t="str">
        <x:v>Puntaje residual</x:v>
      </x:c>
      <x:c r="R8" s="21" t="str">
        <x:v>Nivel residual</x:v>
      </x:c>
      <x:c r="S8" s="21" t="str">
        <x:v>Evidencia / validación</x:v>
      </x:c>
      <x:c r="T8" s="21" t="str">
        <x:v>Tratamiento</x:v>
      </x:c>
    </x:row>
    <x:row r="9" ht="58" customHeight="1">
      <x:c r="A9" s="24" t="str">
        <x:v>S-01</x:v>
      </x:c>
      <x:c r="B9" s="24" t="str">
        <x:v>Suplantación</x:v>
      </x:c>
      <x:c r="C9" s="24" t="str">
        <x:v>Respuesta de Tecnología</x:v>
      </x:c>
      <x:c r="D9" s="24" t="str">
        <x:v>Una identidad comprometida confirma una extensión como si fuera Tecnología.</x:v>
      </x:c>
      <x:c r="E9" s="24" t="str">
        <x:v>Robo de credenciales, MFA ausente o sesión compartida.</x:v>
      </x:c>
      <x:c r="F9" s="24" t="str">
        <x:v>Se incorpora un dato falso al directorio y se pierde trazabilidad.</x:v>
      </x:c>
      <x:c r="G9" s="24" t="str">
        <x:v>Autenticación Microsoft 365 por validar.</x:v>
      </x:c>
      <x:c r="H9" s="24" t="str">
        <x:v>MFA, cuentas nominativas y confirmación vinculada a la identidad registrada.</x:v>
      </x:c>
      <x:c r="I9" s="25" t="n">
        <x:v>4</x:v>
      </x:c>
      <x:c r="J9" s="25" t="n">
        <x:v>4</x:v>
      </x:c>
      <x:c r="K9" s="26" t="n">
        <x:f>I9*J9</x:f>
        <x:v>16</x:v>
      </x:c>
      <x:c r="L9" s="25" t="str">
        <x:f>IF(K9&gt;=17,"Crítico",IF(K9&gt;=10,"Alto",IF(K9&gt;=5,"Medio","Bajo")))</x:f>
        <x:v>Alto</x:v>
      </x:c>
      <x:c r="M9" s="25" t="str">
        <x:v>Por validar</x:v>
      </x:c>
      <x:c r="N9" s="25" t="str">
        <x:v>Tecnología / Seguridad</x:v>
      </x:c>
      <x:c r="O9" s="25" t="n">
        <x:v>2</x:v>
      </x:c>
      <x:c r="P9" s="25" t="n">
        <x:v>4</x:v>
      </x:c>
      <x:c r="Q9" s="26" t="n">
        <x:f>O9*P9</x:f>
        <x:v>8</x:v>
      </x:c>
      <x:c r="R9" s="25" t="str">
        <x:f>IF(Q9&gt;=17,"Crítico",IF(Q9&gt;=10,"Alto",IF(Q9&gt;=5,"Medio","Bajo")))</x:f>
        <x:v>Medio</x:v>
      </x:c>
      <x:c r="S9" s="24" t="str">
        <x:v>Evidencia de MFA y registro de la respuesta</x:v>
      </x:c>
      <x:c r="T9" s="24" t="str">
        <x:v>Mitigar</x:v>
      </x:c>
    </x:row>
    <x:row r="10" ht="58" customHeight="1">
      <x:c r="A10" s="24" t="str">
        <x:v>S-02</x:v>
      </x:c>
      <x:c r="B10" s="24" t="str">
        <x:v>Suplantación</x:v>
      </x:c>
      <x:c r="C10" s="24" t="str">
        <x:v>Conexiones de Power Automate</x:v>
      </x:c>
      <x:c r="D10" s="24" t="str">
        <x:v>Se sustituye o reutiliza una conexión con identidad no autorizada.</x:v>
      </x:c>
      <x:c r="E10" s="24" t="str">
        <x:v>Propiedad personal del flujo, secreto compartido o baja de la cuenta propietaria.</x:v>
      </x:c>
      <x:c r="F10" s="24" t="str">
        <x:v>Ejecuciones en nombre de una identidad equivocada y pérdida de continuidad.</x:v>
      </x:c>
      <x:c r="G10" s="24" t="str">
        <x:v>Conexiones actuales no verificadas.</x:v>
      </x:c>
      <x:c r="H10" s="24" t="str">
        <x:v>Cuenta de servicio o copropiedad gobernada, revisión de conexiones y mínimo privilegio.</x:v>
      </x:c>
      <x:c r="I10" s="25" t="n">
        <x:v>3</x:v>
      </x:c>
      <x:c r="J10" s="25" t="n">
        <x:v>4</x:v>
      </x:c>
      <x:c r="K10" s="26" t="n">
        <x:f>I10*J10</x:f>
        <x:v>12</x:v>
      </x:c>
      <x:c r="L10" s="25" t="str">
        <x:f>IF(K10&gt;=17,"Crítico",IF(K10&gt;=10,"Alto",IF(K10&gt;=5,"Medio","Bajo")))</x:f>
        <x:v>Alto</x:v>
      </x:c>
      <x:c r="M10" s="25" t="str">
        <x:v>Por validar</x:v>
      </x:c>
      <x:c r="N10" s="25" t="str">
        <x:v>TI Microsoft 365</x:v>
      </x:c>
      <x:c r="O10" s="25" t="n">
        <x:v>2</x:v>
      </x:c>
      <x:c r="P10" s="25" t="n">
        <x:v>3</x:v>
      </x:c>
      <x:c r="Q10" s="26" t="n">
        <x:f>O10*P10</x:f>
        <x:v>6</x:v>
      </x:c>
      <x:c r="R10" s="25" t="str">
        <x:f>IF(Q10&gt;=17,"Crítico",IF(Q10&gt;=10,"Alto",IF(Q10&gt;=5,"Medio","Bajo")))</x:f>
        <x:v>Medio</x:v>
      </x:c>
      <x:c r="S10" s="24" t="str">
        <x:v>Inventario de propietarios y conexiones</x:v>
      </x:c>
      <x:c r="T10" s="24" t="str">
        <x:v>Mitigar</x:v>
      </x:c>
    </x:row>
    <x:row r="11" ht="58" customHeight="1">
      <x:c r="A11" s="24" t="str">
        <x:v>T-01</x:v>
      </x:c>
      <x:c r="B11" s="24" t="str">
        <x:v>Manipulación</x:v>
      </x:c>
      <x:c r="C11" s="24" t="str">
        <x:v>Archivo mensual de nómina</x:v>
      </x:c>
      <x:c r="D11" s="24" t="str">
        <x:v>El archivo se modifica antes de cargarlo o durante su preparación.</x:v>
      </x:c>
      <x:c r="E11" s="24" t="str">
        <x:v>Edición manual, ubicación no controlada o permisos excesivos.</x:v>
      </x:c>
      <x:c r="F11" s="24" t="str">
        <x:v>Comparación incorrecta, notificaciones erróneas y exposición de datos.</x:v>
      </x:c>
      <x:c r="G11" s="24" t="str">
        <x:v>Proceso manual sin control técnico documentado.</x:v>
      </x:c>
      <x:c r="H11" s="24" t="str">
        <x:v>Biblioteca restringida, control de versiones, hash o revisión de integridad y carga nominativa.</x:v>
      </x:c>
      <x:c r="I11" s="25" t="n">
        <x:v>3</x:v>
      </x:c>
      <x:c r="J11" s="25" t="n">
        <x:v>5</x:v>
      </x:c>
      <x:c r="K11" s="26" t="n">
        <x:f>I11*J11</x:f>
        <x:v>15</x:v>
      </x:c>
      <x:c r="L11" s="25" t="str">
        <x:f>IF(K11&gt;=17,"Crítico",IF(K11&gt;=10,"Alto",IF(K11&gt;=5,"Medio","Bajo")))</x:f>
        <x:v>Alto</x:v>
      </x:c>
      <x:c r="M11" s="25" t="str">
        <x:v>Propuesto</x:v>
      </x:c>
      <x:c r="N11" s="25" t="str">
        <x:v>Gestora / Tecnología</x:v>
      </x:c>
      <x:c r="O11" s="25" t="n">
        <x:v>2</x:v>
      </x:c>
      <x:c r="P11" s="25" t="n">
        <x:v>4</x:v>
      </x:c>
      <x:c r="Q11" s="26" t="n">
        <x:f>O11*P11</x:f>
        <x:v>8</x:v>
      </x:c>
      <x:c r="R11" s="25" t="str">
        <x:f>IF(Q11&gt;=17,"Crítico",IF(Q11&gt;=10,"Alto",IF(Q11&gt;=5,"Medio","Bajo")))</x:f>
        <x:v>Medio</x:v>
      </x:c>
      <x:c r="S11" s="24" t="str">
        <x:v>Historial de versiones y acta de carga</x:v>
      </x:c>
      <x:c r="T11" s="24" t="str">
        <x:v>Mitigar</x:v>
      </x:c>
    </x:row>
    <x:row r="12" ht="58" customHeight="1">
      <x:c r="A12" s="24" t="str">
        <x:v>T-02</x:v>
      </x:c>
      <x:c r="B12" s="24" t="str">
        <x:v>Manipulación</x:v>
      </x:c>
      <x:c r="C12" s="24" t="str">
        <x:v>Normalización y cruce</x:v>
      </x:c>
      <x:c r="D12" s="24" t="str">
        <x:v>Una clave ambigua asocia la extensión con una persona equivocada.</x:v>
      </x:c>
      <x:c r="E12" s="24" t="str">
        <x:v>Homónimos, formatos distintos o ausencia de identificador único.</x:v>
      </x:c>
      <x:c r="F12" s="24" t="str">
        <x:v>Actualización incorrecta y comunicación a un tercero.</x:v>
      </x:c>
      <x:c r="G12" s="24" t="str">
        <x:v>Conciliación manual en Excel.</x:v>
      </x:c>
      <x:c r="H12" s="24" t="str">
        <x:v>Identificador estable, reglas de normalización, excepciones explícitas y doble revisión.</x:v>
      </x:c>
      <x:c r="I12" s="25" t="n">
        <x:v>4</x:v>
      </x:c>
      <x:c r="J12" s="25" t="n">
        <x:v>5</x:v>
      </x:c>
      <x:c r="K12" s="26" t="n">
        <x:f>I12*J12</x:f>
        <x:v>20</x:v>
      </x:c>
      <x:c r="L12" s="25" t="str">
        <x:f>IF(K12&gt;=17,"Crítico",IF(K12&gt;=10,"Alto",IF(K12&gt;=5,"Medio","Bajo")))</x:f>
        <x:v>Crítico</x:v>
      </x:c>
      <x:c r="M12" s="25" t="str">
        <x:v>Propuesto</x:v>
      </x:c>
      <x:c r="N12" s="25" t="str">
        <x:v>Gestora del proceso</x:v>
      </x:c>
      <x:c r="O12" s="25" t="n">
        <x:v>2</x:v>
      </x:c>
      <x:c r="P12" s="25" t="n">
        <x:v>4</x:v>
      </x:c>
      <x:c r="Q12" s="26" t="n">
        <x:f>O12*P12</x:f>
        <x:v>8</x:v>
      </x:c>
      <x:c r="R12" s="25" t="str">
        <x:f>IF(Q12&gt;=17,"Crítico",IF(Q12&gt;=10,"Alto",IF(Q12&gt;=5,"Medio","Bajo")))</x:f>
        <x:v>Medio</x:v>
      </x:c>
      <x:c r="S12" s="24" t="str">
        <x:v>Pruebas de reglas y registro de excepciones</x:v>
      </x:c>
      <x:c r="T12" s="24" t="str">
        <x:v>Mitigar</x:v>
      </x:c>
    </x:row>
    <x:row r="13" ht="58" customHeight="1">
      <x:c r="A13" s="24" t="str">
        <x:v>T-03</x:v>
      </x:c>
      <x:c r="B13" s="24" t="str">
        <x:v>Manipulación</x:v>
      </x:c>
      <x:c r="C13" s="24" t="str">
        <x:v>Lista maestra del directorio</x:v>
      </x:c>
      <x:c r="D13" s="24" t="str">
        <x:v>Un usuario edita directamente el registro y omite el flujo de validación.</x:v>
      </x:c>
      <x:c r="E13" s="24" t="str">
        <x:v>Permisos de edición amplios o ausencia de control por estado.</x:v>
      </x:c>
      <x:c r="F13" s="24" t="str">
        <x:v>Dato publicado sin confirmación y auditoría incompleta.</x:v>
      </x:c>
      <x:c r="G13" s="24" t="str">
        <x:v>Permisos actuales por validar.</x:v>
      </x:c>
      <x:c r="H13" s="24" t="str">
        <x:v>Permisos por rol, edición mediante formulario controlado y bitácora de cambios.</x:v>
      </x:c>
      <x:c r="I13" s="25" t="n">
        <x:v>4</x:v>
      </x:c>
      <x:c r="J13" s="25" t="n">
        <x:v>4</x:v>
      </x:c>
      <x:c r="K13" s="26" t="n">
        <x:f>I13*J13</x:f>
        <x:v>16</x:v>
      </x:c>
      <x:c r="L13" s="25" t="str">
        <x:f>IF(K13&gt;=17,"Crítico",IF(K13&gt;=10,"Alto",IF(K13&gt;=5,"Medio","Bajo")))</x:f>
        <x:v>Alto</x:v>
      </x:c>
      <x:c r="M13" s="25" t="str">
        <x:v>Por validar</x:v>
      </x:c>
      <x:c r="N13" s="25" t="str">
        <x:v>TI SharePoint</x:v>
      </x:c>
      <x:c r="O13" s="25" t="n">
        <x:v>2</x:v>
      </x:c>
      <x:c r="P13" s="25" t="n">
        <x:v>4</x:v>
      </x:c>
      <x:c r="Q13" s="26" t="n">
        <x:f>O13*P13</x:f>
        <x:v>8</x:v>
      </x:c>
      <x:c r="R13" s="25" t="str">
        <x:f>IF(Q13&gt;=17,"Crítico",IF(Q13&gt;=10,"Alto",IF(Q13&gt;=5,"Medio","Bajo")))</x:f>
        <x:v>Medio</x:v>
      </x:c>
      <x:c r="S13" s="24" t="str">
        <x:v>Matriz de permisos y log de cambios</x:v>
      </x:c>
      <x:c r="T13" s="24" t="str">
        <x:v>Mitigar</x:v>
      </x:c>
    </x:row>
    <x:row r="14" ht="58" customHeight="1">
      <x:c r="A14" s="24" t="str">
        <x:v>T-04</x:v>
      </x:c>
      <x:c r="B14" s="24" t="str">
        <x:v>Manipulación</x:v>
      </x:c>
      <x:c r="C14" s="24" t="str">
        <x:v>Definición del flujo</x:v>
      </x:c>
      <x:c r="D14" s="24" t="str">
        <x:v>Se cambia una condición, destinatario o acción del flujo sin autorización.</x:v>
      </x:c>
      <x:c r="E14" s="24" t="str">
        <x:v>Propietarios excesivos o sin gestión de cambios.</x:v>
      </x:c>
      <x:c r="F14" s="24" t="str">
        <x:v>Notificaciones incorrectas, fuga de información o interrupción.</x:v>
      </x:c>
      <x:c r="G14" s="24" t="str">
        <x:v>Versionado de solución por validar.</x:v>
      </x:c>
      <x:c r="H14" s="24" t="str">
        <x:v>Entornos, solución administrada, control de cambios y revisión de copropietarios.</x:v>
      </x:c>
      <x:c r="I14" s="25" t="n">
        <x:v>3</x:v>
      </x:c>
      <x:c r="J14" s="25" t="n">
        <x:v>5</x:v>
      </x:c>
      <x:c r="K14" s="26" t="n">
        <x:f>I14*J14</x:f>
        <x:v>15</x:v>
      </x:c>
      <x:c r="L14" s="25" t="str">
        <x:f>IF(K14&gt;=17,"Crítico",IF(K14&gt;=10,"Alto",IF(K14&gt;=5,"Medio","Bajo")))</x:f>
        <x:v>Alto</x:v>
      </x:c>
      <x:c r="M14" s="25" t="str">
        <x:v>Por validar</x:v>
      </x:c>
      <x:c r="N14" s="25" t="str">
        <x:v>TI Power Platform</x:v>
      </x:c>
      <x:c r="O14" s="25" t="n">
        <x:v>1</x:v>
      </x:c>
      <x:c r="P14" s="25" t="n">
        <x:v>5</x:v>
      </x:c>
      <x:c r="Q14" s="26" t="n">
        <x:f>O14*P14</x:f>
        <x:v>5</x:v>
      </x:c>
      <x:c r="R14" s="25" t="str">
        <x:f>IF(Q14&gt;=17,"Crítico",IF(Q14&gt;=10,"Alto",IF(Q14&gt;=5,"Medio","Bajo")))</x:f>
        <x:v>Medio</x:v>
      </x:c>
      <x:c r="S14" s="24" t="str">
        <x:v>Historial de versiones/aprobaciones del flujo</x:v>
      </x:c>
      <x:c r="T14" s="24" t="str">
        <x:v>Mitigar</x:v>
      </x:c>
    </x:row>
    <x:row r="15" ht="58" customHeight="1">
      <x:c r="A15" s="24" t="str">
        <x:v>R-01</x:v>
      </x:c>
      <x:c r="B15" s="24" t="str">
        <x:v>Repudio</x:v>
      </x:c>
      <x:c r="C15" s="24" t="str">
        <x:v>Confirmación de extensión</x:v>
      </x:c>
      <x:c r="D15" s="24" t="str">
        <x:v>Una persona niega haber confirmado o rechazado el dato.</x:v>
      </x:c>
      <x:c r="E15" s="24" t="str">
        <x:v>Respuesta informal sin sello de tiempo ni identidad enlazada.</x:v>
      </x:c>
      <x:c r="F15" s="24" t="str">
        <x:v>Disputas, reprocesos y falta de evidencia del control.</x:v>
      </x:c>
      <x:c r="G15" s="24" t="str">
        <x:v>Correo o llamada sin estándar único.</x:v>
      </x:c>
      <x:c r="H15" s="24" t="str">
        <x:v>Registrar identidad, fecha, canal, respuesta y correlación en la lista.</x:v>
      </x:c>
      <x:c r="I15" s="25" t="n">
        <x:v>4</x:v>
      </x:c>
      <x:c r="J15" s="25" t="n">
        <x:v>4</x:v>
      </x:c>
      <x:c r="K15" s="26" t="n">
        <x:f>I15*J15</x:f>
        <x:v>16</x:v>
      </x:c>
      <x:c r="L15" s="25" t="str">
        <x:f>IF(K15&gt;=17,"Crítico",IF(K15&gt;=10,"Alto",IF(K15&gt;=5,"Medio","Bajo")))</x:f>
        <x:v>Alto</x:v>
      </x:c>
      <x:c r="M15" s="25" t="str">
        <x:v>Propuesto</x:v>
      </x:c>
      <x:c r="N15" s="25" t="str">
        <x:v>Gestora del proceso</x:v>
      </x:c>
      <x:c r="O15" s="25" t="n">
        <x:v>1</x:v>
      </x:c>
      <x:c r="P15" s="25" t="n">
        <x:v>4</x:v>
      </x:c>
      <x:c r="Q15" s="26" t="n">
        <x:f>O15*P15</x:f>
        <x:v>4</x:v>
      </x:c>
      <x:c r="R15" s="25" t="str">
        <x:f>IF(Q15&gt;=17,"Crítico",IF(Q15&gt;=10,"Alto",IF(Q15&gt;=5,"Medio","Bajo")))</x:f>
        <x:v>Bajo</x:v>
      </x:c>
      <x:c r="S15" s="24" t="str">
        <x:v>Registro inmutable o exportable de confirmaciones</x:v>
      </x:c>
      <x:c r="T15" s="24" t="str">
        <x:v>Mitigar</x:v>
      </x:c>
    </x:row>
    <x:row r="16" ht="58" customHeight="1">
      <x:c r="A16" s="24" t="str">
        <x:v>R-02</x:v>
      </x:c>
      <x:c r="B16" s="24" t="str">
        <x:v>Repudio</x:v>
      </x:c>
      <x:c r="C16" s="24" t="str">
        <x:v>Corrección manual</x:v>
      </x:c>
      <x:c r="D16" s="24" t="str">
        <x:v>Se modifica un registro sin justificar quién, cuándo y por qué.</x:v>
      </x:c>
      <x:c r="E16" s="24" t="str">
        <x:v>Atajo operativo o bitácora incompleta.</x:v>
      </x:c>
      <x:c r="F16" s="24" t="str">
        <x:v>No se puede reconstruir la decisión ni atribuir responsabilidad.</x:v>
      </x:c>
      <x:c r="G16" s="24" t="str">
        <x:v>Seguimiento manual en Excel.</x:v>
      </x:c>
      <x:c r="H16" s="24" t="str">
        <x:v>Campo obligatorio de motivo, aprobación cuando aplique y auditoría de versiones.</x:v>
      </x:c>
      <x:c r="I16" s="25" t="n">
        <x:v>3</x:v>
      </x:c>
      <x:c r="J16" s="25" t="n">
        <x:v>4</x:v>
      </x:c>
      <x:c r="K16" s="26" t="n">
        <x:f>I16*J16</x:f>
        <x:v>12</x:v>
      </x:c>
      <x:c r="L16" s="25" t="str">
        <x:f>IF(K16&gt;=17,"Crítico",IF(K16&gt;=10,"Alto",IF(K16&gt;=5,"Medio","Bajo")))</x:f>
        <x:v>Alto</x:v>
      </x:c>
      <x:c r="M16" s="25" t="str">
        <x:v>Propuesto</x:v>
      </x:c>
      <x:c r="N16" s="25" t="str">
        <x:v>Gestora / Tecnología</x:v>
      </x:c>
      <x:c r="O16" s="25" t="n">
        <x:v>2</x:v>
      </x:c>
      <x:c r="P16" s="25" t="n">
        <x:v>3</x:v>
      </x:c>
      <x:c r="Q16" s="26" t="n">
        <x:f>O16*P16</x:f>
        <x:v>6</x:v>
      </x:c>
      <x:c r="R16" s="25" t="str">
        <x:f>IF(Q16&gt;=17,"Crítico",IF(Q16&gt;=10,"Alto",IF(Q16&gt;=5,"Medio","Bajo")))</x:f>
        <x:v>Medio</x:v>
      </x:c>
      <x:c r="S16" s="24" t="str">
        <x:v>Historial de versiones y motivo de cambio</x:v>
      </x:c>
      <x:c r="T16" s="24" t="str">
        <x:v>Mitigar</x:v>
      </x:c>
    </x:row>
    <x:row r="17" ht="58" customHeight="1">
      <x:c r="A17" s="24" t="str">
        <x:v>I-01</x:v>
      </x:c>
      <x:c r="B17" s="24" t="str">
        <x:v>Divulgación de información</x:v>
      </x:c>
      <x:c r="C17" s="24" t="str">
        <x:v>Notificación en Teams/correo</x:v>
      </x:c>
      <x:c r="D17" s="24" t="str">
        <x:v>La notificación incluye más datos personales de los necesarios.</x:v>
      </x:c>
      <x:c r="E17" s="24" t="str">
        <x:v>Plantilla extensa, destinatarios erróneos o reenvío.</x:v>
      </x:c>
      <x:c r="F17" s="24" t="str">
        <x:v>Exposición de datos laborales/personales y pérdida de confianza.</x:v>
      </x:c>
      <x:c r="G17" s="24" t="str">
        <x:v>Contenido actual no diseñado.</x:v>
      </x:c>
      <x:c r="H17" s="24" t="str">
        <x:v>Minimizar el mensaje, usar enlace con control de acceso y revisar destinatarios.</x:v>
      </x:c>
      <x:c r="I17" s="25" t="n">
        <x:v>4</x:v>
      </x:c>
      <x:c r="J17" s="25" t="n">
        <x:v>4</x:v>
      </x:c>
      <x:c r="K17" s="26" t="n">
        <x:f>I17*J17</x:f>
        <x:v>16</x:v>
      </x:c>
      <x:c r="L17" s="25" t="str">
        <x:f>IF(K17&gt;=17,"Crítico",IF(K17&gt;=10,"Alto",IF(K17&gt;=5,"Medio","Bajo")))</x:f>
        <x:v>Alto</x:v>
      </x:c>
      <x:c r="M17" s="25" t="str">
        <x:v>Propuesto</x:v>
      </x:c>
      <x:c r="N17" s="25" t="str">
        <x:v>Gestora / Legal</x:v>
      </x:c>
      <x:c r="O17" s="25" t="n">
        <x:v>2</x:v>
      </x:c>
      <x:c r="P17" s="25" t="n">
        <x:v>3</x:v>
      </x:c>
      <x:c r="Q17" s="26" t="n">
        <x:f>O17*P17</x:f>
        <x:v>6</x:v>
      </x:c>
      <x:c r="R17" s="25" t="str">
        <x:f>IF(Q17&gt;=17,"Crítico",IF(Q17&gt;=10,"Alto",IF(Q17&gt;=5,"Medio","Bajo")))</x:f>
        <x:v>Medio</x:v>
      </x:c>
      <x:c r="S17" s="24" t="str">
        <x:v>Plantillas aprobadas y prueba de destinatarios</x:v>
      </x:c>
      <x:c r="T17" s="24" t="str">
        <x:v>Mitigar</x:v>
      </x:c>
    </x:row>
    <x:row r="18" ht="58" customHeight="1">
      <x:c r="A18" s="24" t="str">
        <x:v>I-02</x:v>
      </x:c>
      <x:c r="B18" s="24" t="str">
        <x:v>Divulgación de información</x:v>
      </x:c>
      <x:c r="C18" s="24" t="str">
        <x:v>Biblioteca de nómina</x:v>
      </x:c>
      <x:c r="D18" s="24" t="str">
        <x:v>Usuarios sin necesidad acceden al archivo mensual completo.</x:v>
      </x:c>
      <x:c r="E18" s="24" t="str">
        <x:v>Herencia de permisos o enlace compartido de forma amplia.</x:v>
      </x:c>
      <x:c r="F18" s="24" t="str">
        <x:v>Exposición masiva de datos de empleados.</x:v>
      </x:c>
      <x:c r="G18" s="24" t="str">
        <x:v>Permisos no inventariados.</x:v>
      </x:c>
      <x:c r="H18" s="24" t="str">
        <x:v>Biblioteca separada, grupos mínimos, enlaces restringidos y revisión periódica.</x:v>
      </x:c>
      <x:c r="I18" s="25" t="n">
        <x:v>4</x:v>
      </x:c>
      <x:c r="J18" s="25" t="n">
        <x:v>5</x:v>
      </x:c>
      <x:c r="K18" s="26" t="n">
        <x:f>I18*J18</x:f>
        <x:v>20</x:v>
      </x:c>
      <x:c r="L18" s="25" t="str">
        <x:f>IF(K18&gt;=17,"Crítico",IF(K18&gt;=10,"Alto",IF(K18&gt;=5,"Medio","Bajo")))</x:f>
        <x:v>Crítico</x:v>
      </x:c>
      <x:c r="M18" s="25" t="str">
        <x:v>Por validar</x:v>
      </x:c>
      <x:c r="N18" s="25" t="str">
        <x:v>TI SharePoint / Seguridad</x:v>
      </x:c>
      <x:c r="O18" s="25" t="n">
        <x:v>2</x:v>
      </x:c>
      <x:c r="P18" s="25" t="n">
        <x:v>5</x:v>
      </x:c>
      <x:c r="Q18" s="26" t="n">
        <x:f>O18*P18</x:f>
        <x:v>10</x:v>
      </x:c>
      <x:c r="R18" s="25" t="str">
        <x:f>IF(Q18&gt;=17,"Crítico",IF(Q18&gt;=10,"Alto",IF(Q18&gt;=5,"Medio","Bajo")))</x:f>
        <x:v>Alto</x:v>
      </x:c>
      <x:c r="S18" s="24" t="str">
        <x:v>Reporte de accesos y revisión de grupos</x:v>
      </x:c>
      <x:c r="T18" s="24" t="str">
        <x:v>Mitigar</x:v>
      </x:c>
    </x:row>
    <x:row r="19" ht="58" customHeight="1">
      <x:c r="A19" s="24" t="str">
        <x:v>I-03</x:v>
      </x:c>
      <x:c r="B19" s="24" t="str">
        <x:v>Divulgación de información</x:v>
      </x:c>
      <x:c r="C19" s="24" t="str">
        <x:v>Repositorio GitHub</x:v>
      </x:c>
      <x:c r="D19" s="24" t="str">
        <x:v>Datos reales o capturas con información personal se publican en el repositorio.</x:v>
      </x:c>
      <x:c r="E19" s="24" t="str">
        <x:v>Uso de evidencia productiva durante el trabajo académico.</x:v>
      </x:c>
      <x:c r="F19" s="24" t="str">
        <x:v>Divulgación pública, incidente de privacidad y afectación reputacional.</x:v>
      </x:c>
      <x:c r="G19" s="24" t="str">
        <x:v>README declara uso de datos ficticios.</x:v>
      </x:c>
      <x:c r="H19" s="24" t="str">
        <x:v>Regla de datos sintéticos, revisión antes de commit y exclusiones en .gitignore.</x:v>
      </x:c>
      <x:c r="I19" s="25" t="n">
        <x:v>3</x:v>
      </x:c>
      <x:c r="J19" s="25" t="n">
        <x:v>5</x:v>
      </x:c>
      <x:c r="K19" s="26" t="n">
        <x:f>I19*J19</x:f>
        <x:v>15</x:v>
      </x:c>
      <x:c r="L19" s="25" t="str">
        <x:f>IF(K19&gt;=17,"Crítico",IF(K19&gt;=10,"Alto",IF(K19&gt;=5,"Medio","Bajo")))</x:f>
        <x:v>Alto</x:v>
      </x:c>
      <x:c r="M19" s="25" t="str">
        <x:v>Existe</x:v>
      </x:c>
      <x:c r="N19" s="25" t="str">
        <x:v>Equipo del proyecto</x:v>
      </x:c>
      <x:c r="O19" s="25" t="n">
        <x:v>1</x:v>
      </x:c>
      <x:c r="P19" s="25" t="n">
        <x:v>5</x:v>
      </x:c>
      <x:c r="Q19" s="26" t="n">
        <x:f>O19*P19</x:f>
        <x:v>5</x:v>
      </x:c>
      <x:c r="R19" s="25" t="str">
        <x:f>IF(Q19&gt;=17,"Crítico",IF(Q19&gt;=10,"Alto",IF(Q19&gt;=5,"Medio","Bajo")))</x:f>
        <x:v>Medio</x:v>
      </x:c>
      <x:c r="S19" s="24" t="str">
        <x:v>Revisión del repositorio y checklist de publicación</x:v>
      </x:c>
      <x:c r="T19" s="24" t="str">
        <x:v>Mitigar</x:v>
      </x:c>
    </x:row>
    <x:row r="20" ht="58" customHeight="1">
      <x:c r="A20" s="24" t="str">
        <x:v>I-04</x:v>
      </x:c>
      <x:c r="B20" s="24" t="str">
        <x:v>Divulgación de información</x:v>
      </x:c>
      <x:c r="C20" s="24" t="str">
        <x:v>Versiones y exportaciones</x:v>
      </x:c>
      <x:c r="D20" s="24" t="str">
        <x:v>Copias del archivo y exportaciones quedan retenidas sin control.</x:v>
      </x:c>
      <x:c r="E20" s="24" t="str">
        <x:v>Descargas locales, correo o retención indefinida.</x:v>
      </x:c>
      <x:c r="F20" s="24" t="str">
        <x:v>Superficie de exposición creciente y dificultad para atender eliminación.</x:v>
      </x:c>
      <x:c r="G20" s="24" t="str">
        <x:v>Retención no definida.</x:v>
      </x:c>
      <x:c r="H20" s="24" t="str">
        <x:v>Política de retención, eliminación segura y restricción de descargas cuando sea viable.</x:v>
      </x:c>
      <x:c r="I20" s="25" t="n">
        <x:v>3</x:v>
      </x:c>
      <x:c r="J20" s="25" t="n">
        <x:v>4</x:v>
      </x:c>
      <x:c r="K20" s="26" t="n">
        <x:f>I20*J20</x:f>
        <x:v>12</x:v>
      </x:c>
      <x:c r="L20" s="25" t="str">
        <x:f>IF(K20&gt;=17,"Crítico",IF(K20&gt;=10,"Alto",IF(K20&gt;=5,"Medio","Bajo")))</x:f>
        <x:v>Alto</x:v>
      </x:c>
      <x:c r="M20" s="25" t="str">
        <x:v>Por validar</x:v>
      </x:c>
      <x:c r="N20" s="25" t="str">
        <x:v>Legal / Tecnología</x:v>
      </x:c>
      <x:c r="O20" s="25" t="n">
        <x:v>2</x:v>
      </x:c>
      <x:c r="P20" s="25" t="n">
        <x:v>3</x:v>
      </x:c>
      <x:c r="Q20" s="26" t="n">
        <x:f>O20*P20</x:f>
        <x:v>6</x:v>
      </x:c>
      <x:c r="R20" s="25" t="str">
        <x:f>IF(Q20&gt;=17,"Crítico",IF(Q20&gt;=10,"Alto",IF(Q20&gt;=5,"Medio","Bajo")))</x:f>
        <x:v>Medio</x:v>
      </x:c>
      <x:c r="S20" s="24" t="str">
        <x:v>Política y evidencia de depuración</x:v>
      </x:c>
      <x:c r="T20" s="24" t="str">
        <x:v>Mitigar</x:v>
      </x:c>
    </x:row>
    <x:row r="21" ht="58" customHeight="1">
      <x:c r="A21" s="24" t="str">
        <x:v>D-01</x:v>
      </x:c>
      <x:c r="B21" s="24" t="str">
        <x:v>Denegación de servicio</x:v>
      </x:c>
      <x:c r="C21" s="24" t="str">
        <x:v>Flujo mensual</x:v>
      </x:c>
      <x:c r="D21" s="24" t="str">
        <x:v>El flujo queda deshabilitado o una conexión expira.</x:v>
      </x:c>
      <x:c r="E21" s="24" t="str">
        <x:v>Cuenta propietaria bloqueada, licencia o credencial vencida.</x:v>
      </x:c>
      <x:c r="F21" s="24" t="str">
        <x:v>No se generan solicitudes ni recordatorios a tiempo.</x:v>
      </x:c>
      <x:c r="G21" s="24" t="str">
        <x:v>Monitoreo no confirmado.</x:v>
      </x:c>
      <x:c r="H21" s="24" t="str">
        <x:v>Copropietarios, alertas de falla, plan manual y prueba mensual previa.</x:v>
      </x:c>
      <x:c r="I21" s="25" t="n">
        <x:v>4</x:v>
      </x:c>
      <x:c r="J21" s="25" t="n">
        <x:v>4</x:v>
      </x:c>
      <x:c r="K21" s="26" t="n">
        <x:f>I21*J21</x:f>
        <x:v>16</x:v>
      </x:c>
      <x:c r="L21" s="25" t="str">
        <x:f>IF(K21&gt;=17,"Crítico",IF(K21&gt;=10,"Alto",IF(K21&gt;=5,"Medio","Bajo")))</x:f>
        <x:v>Alto</x:v>
      </x:c>
      <x:c r="M21" s="25" t="str">
        <x:v>Propuesto</x:v>
      </x:c>
      <x:c r="N21" s="25" t="str">
        <x:v>TI Power Platform</x:v>
      </x:c>
      <x:c r="O21" s="25" t="n">
        <x:v>2</x:v>
      </x:c>
      <x:c r="P21" s="25" t="n">
        <x:v>3</x:v>
      </x:c>
      <x:c r="Q21" s="26" t="n">
        <x:f>O21*P21</x:f>
        <x:v>6</x:v>
      </x:c>
      <x:c r="R21" s="25" t="str">
        <x:f>IF(Q21&gt;=17,"Crítico",IF(Q21&gt;=10,"Alto",IF(Q21&gt;=5,"Medio","Bajo")))</x:f>
        <x:v>Medio</x:v>
      </x:c>
      <x:c r="S21" s="24" t="str">
        <x:v>Panel de ejecuciones y procedimiento de contingencia</x:v>
      </x:c>
      <x:c r="T21" s="24" t="str">
        <x:v>Mitigar</x:v>
      </x:c>
    </x:row>
    <x:row r="22" ht="58" customHeight="1">
      <x:c r="A22" s="24" t="str">
        <x:v>D-02</x:v>
      </x:c>
      <x:c r="B22" s="24" t="str">
        <x:v>Denegación de servicio</x:v>
      </x:c>
      <x:c r="C22" s="24" t="str">
        <x:v>Consulta de Power Query</x:v>
      </x:c>
      <x:c r="D22" s="24" t="str">
        <x:v>Un cambio de esquema en nómina rompe la actualización.</x:v>
      </x:c>
      <x:c r="E22" s="24" t="str">
        <x:v>Columnas renombradas, tipo de dato diferente o plantilla no controlada.</x:v>
      </x:c>
      <x:c r="F22" s="24" t="str">
        <x:v>Conciliación detenida y retraso en la actualización.</x:v>
      </x:c>
      <x:c r="G22" s="24" t="str">
        <x:v>Transformaciones aún no implementadas.</x:v>
      </x:c>
      <x:c r="H22" s="24" t="str">
        <x:v>Plantilla de entrada, validación de esquema, mensaje de error y manejo de excepciones.</x:v>
      </x:c>
      <x:c r="I22" s="25" t="n">
        <x:v>4</x:v>
      </x:c>
      <x:c r="J22" s="25" t="n">
        <x:v>4</x:v>
      </x:c>
      <x:c r="K22" s="26" t="n">
        <x:f>I22*J22</x:f>
        <x:v>16</x:v>
      </x:c>
      <x:c r="L22" s="25" t="str">
        <x:f>IF(K22&gt;=17,"Crítico",IF(K22&gt;=10,"Alto",IF(K22&gt;=5,"Medio","Bajo")))</x:f>
        <x:v>Alto</x:v>
      </x:c>
      <x:c r="M22" s="25" t="str">
        <x:v>Propuesto</x:v>
      </x:c>
      <x:c r="N22" s="25" t="str">
        <x:v>Gestora / Analítica</x:v>
      </x:c>
      <x:c r="O22" s="25" t="n">
        <x:v>2</x:v>
      </x:c>
      <x:c r="P22" s="25" t="n">
        <x:v>3</x:v>
      </x:c>
      <x:c r="Q22" s="26" t="n">
        <x:f>O22*P22</x:f>
        <x:v>6</x:v>
      </x:c>
      <x:c r="R22" s="25" t="str">
        <x:f>IF(Q22&gt;=17,"Crítico",IF(Q22&gt;=10,"Alto",IF(Q22&gt;=5,"Medio","Bajo")))</x:f>
        <x:v>Medio</x:v>
      </x:c>
      <x:c r="S22" s="24" t="str">
        <x:v>Caso de prueba con esquema inválido</x:v>
      </x:c>
      <x:c r="T22" s="24" t="str">
        <x:v>Mitigar</x:v>
      </x:c>
    </x:row>
    <x:row r="23" ht="58" customHeight="1">
      <x:c r="A23" s="24" t="str">
        <x:v>D-03</x:v>
      </x:c>
      <x:c r="B23" s="24" t="str">
        <x:v>Denegación de servicio</x:v>
      </x:c>
      <x:c r="C23" s="24" t="str">
        <x:v>Conectores y volumen</x:v>
      </x:c>
      <x:c r="D23" s="24" t="str">
        <x:v>Límites o alta demanda retrasan notificaciones y actualizaciones.</x:v>
      </x:c>
      <x:c r="E23" s="24" t="str">
        <x:v>Picos de volumen, reintentos o límites del servicio.</x:v>
      </x:c>
      <x:c r="F23" s="24" t="str">
        <x:v>Confirmaciones fuera del ciclo y acumulación de casos.</x:v>
      </x:c>
      <x:c r="G23" s="24" t="str">
        <x:v>Volumen real por validar.</x:v>
      </x:c>
      <x:c r="H23" s="24" t="str">
        <x:v>Procesamiento por lotes, control de concurrencia, reintentos y capacidad validada.</x:v>
      </x:c>
      <x:c r="I23" s="25" t="n">
        <x:v>3</x:v>
      </x:c>
      <x:c r="J23" s="25" t="n">
        <x:v>3</x:v>
      </x:c>
      <x:c r="K23" s="26" t="n">
        <x:f>I23*J23</x:f>
        <x:v>9</x:v>
      </x:c>
      <x:c r="L23" s="25" t="str">
        <x:f>IF(K23&gt;=17,"Crítico",IF(K23&gt;=10,"Alto",IF(K23&gt;=5,"Medio","Bajo")))</x:f>
        <x:v>Medio</x:v>
      </x:c>
      <x:c r="M23" s="25" t="str">
        <x:v>Por validar</x:v>
      </x:c>
      <x:c r="N23" s="25" t="str">
        <x:v>TI Power Platform</x:v>
      </x:c>
      <x:c r="O23" s="25" t="n">
        <x:v>2</x:v>
      </x:c>
      <x:c r="P23" s="25" t="n">
        <x:v>2</x:v>
      </x:c>
      <x:c r="Q23" s="26" t="n">
        <x:f>O23*P23</x:f>
        <x:v>4</x:v>
      </x:c>
      <x:c r="R23" s="25" t="str">
        <x:f>IF(Q23&gt;=17,"Crítico",IF(Q23&gt;=10,"Alto",IF(Q23&gt;=5,"Medio","Bajo")))</x:f>
        <x:v>Bajo</x:v>
      </x:c>
      <x:c r="S23" s="24" t="str">
        <x:v>Prueba de carga y métricas de ejecución</x:v>
      </x:c>
      <x:c r="T23" s="24" t="str">
        <x:v>Mitigar</x:v>
      </x:c>
    </x:row>
    <x:row r="24" ht="58" customHeight="1">
      <x:c r="A24" s="24" t="str">
        <x:v>D-04</x:v>
      </x:c>
      <x:c r="B24" s="24" t="str">
        <x:v>Denegación de servicio</x:v>
      </x:c>
      <x:c r="C24" s="24" t="str">
        <x:v>Inicio del ciclo mensual</x:v>
      </x:c>
      <x:c r="D24" s="24" t="str">
        <x:v>El archivo del periodo no llega o se carga tarde.</x:v>
      </x:c>
      <x:c r="E24" s="24" t="str">
        <x:v>Dependencia de un tercero y ausencia de alarma de corte.</x:v>
      </x:c>
      <x:c r="F24" s="24" t="str">
        <x:v>No puede iniciarse la conciliación mensual.</x:v>
      </x:c>
      <x:c r="G24" s="24" t="str">
        <x:v>Seguimiento informal.</x:v>
      </x:c>
      <x:c r="H24" s="24" t="str">
        <x:v>Calendario, responsable suplente, alerta de ausencia y escalamiento.</x:v>
      </x:c>
      <x:c r="I24" s="25" t="n">
        <x:v>3</x:v>
      </x:c>
      <x:c r="J24" s="25" t="n">
        <x:v>4</x:v>
      </x:c>
      <x:c r="K24" s="26" t="n">
        <x:f>I24*J24</x:f>
        <x:v>12</x:v>
      </x:c>
      <x:c r="L24" s="25" t="str">
        <x:f>IF(K24&gt;=17,"Crítico",IF(K24&gt;=10,"Alto",IF(K24&gt;=5,"Medio","Bajo")))</x:f>
        <x:v>Alto</x:v>
      </x:c>
      <x:c r="M24" s="25" t="str">
        <x:v>Propuesto</x:v>
      </x:c>
      <x:c r="N24" s="25" t="str">
        <x:v>Nómina / Gestora</x:v>
      </x:c>
      <x:c r="O24" s="25" t="n">
        <x:v>1</x:v>
      </x:c>
      <x:c r="P24" s="25" t="n">
        <x:v>3</x:v>
      </x:c>
      <x:c r="Q24" s="26" t="n">
        <x:f>O24*P24</x:f>
        <x:v>3</x:v>
      </x:c>
      <x:c r="R24" s="25" t="str">
        <x:f>IF(Q24&gt;=17,"Crítico",IF(Q24&gt;=10,"Alto",IF(Q24&gt;=5,"Medio","Bajo")))</x:f>
        <x:v>Bajo</x:v>
      </x:c>
      <x:c r="S24" s="24" t="str">
        <x:v>Calendario y prueba de alerta</x:v>
      </x:c>
      <x:c r="T24" s="24" t="str">
        <x:v>Mitigar</x:v>
      </x:c>
    </x:row>
    <x:row r="25" ht="58" customHeight="1">
      <x:c r="A25" s="24" t="str">
        <x:v>E-01</x:v>
      </x:c>
      <x:c r="B25" s="24" t="str">
        <x:v>Elevación de privilegios</x:v>
      </x:c>
      <x:c r="C25" s="24" t="str">
        <x:v>Rol de Gestora</x:v>
      </x:c>
      <x:c r="D25" s="24" t="str">
        <x:v>La gestora obtiene capacidad de administrar sitio, permisos o flujos.</x:v>
      </x:c>
      <x:c r="E25" s="24" t="str">
        <x:v>Asignación de rol por conveniencia o grupos mal configurados.</x:v>
      </x:c>
      <x:c r="F25" s="24" t="str">
        <x:v>Puede alterar controles, ver datos no necesarios o borrar evidencia.</x:v>
      </x:c>
      <x:c r="G25" s="24" t="str">
        <x:v>Modelo de roles pendiente.</x:v>
      </x:c>
      <x:c r="H25" s="24" t="str">
        <x:v>Separación entre operación y administración; rol de contribución acotado.</x:v>
      </x:c>
      <x:c r="I25" s="25" t="n">
        <x:v>3</x:v>
      </x:c>
      <x:c r="J25" s="25" t="n">
        <x:v>4</x:v>
      </x:c>
      <x:c r="K25" s="26" t="n">
        <x:f>I25*J25</x:f>
        <x:v>12</x:v>
      </x:c>
      <x:c r="L25" s="25" t="str">
        <x:f>IF(K25&gt;=17,"Crítico",IF(K25&gt;=10,"Alto",IF(K25&gt;=5,"Medio","Bajo")))</x:f>
        <x:v>Alto</x:v>
      </x:c>
      <x:c r="M25" s="25" t="str">
        <x:v>Propuesto</x:v>
      </x:c>
      <x:c r="N25" s="25" t="str">
        <x:v>TI SharePoint</x:v>
      </x:c>
      <x:c r="O25" s="25" t="n">
        <x:v>1</x:v>
      </x:c>
      <x:c r="P25" s="25" t="n">
        <x:v>4</x:v>
      </x:c>
      <x:c r="Q25" s="26" t="n">
        <x:f>O25*P25</x:f>
        <x:v>4</x:v>
      </x:c>
      <x:c r="R25" s="25" t="str">
        <x:f>IF(Q25&gt;=17,"Crítico",IF(Q25&gt;=10,"Alto",IF(Q25&gt;=5,"Medio","Bajo")))</x:f>
        <x:v>Bajo</x:v>
      </x:c>
      <x:c r="S25" s="24" t="str">
        <x:v>Matriz RACI y prueba de permisos</x:v>
      </x:c>
      <x:c r="T25" s="24" t="str">
        <x:v>Mitigar</x:v>
      </x:c>
    </x:row>
    <x:row r="26" ht="58" customHeight="1">
      <x:c r="A26" s="24" t="str">
        <x:v>E-02</x:v>
      </x:c>
      <x:c r="B26" s="24" t="str">
        <x:v>Elevación de privilegios</x:v>
      </x:c>
      <x:c r="C26" s="24" t="str">
        <x:v>Administración Microsoft 365</x:v>
      </x:c>
      <x:c r="D26" s="24" t="str">
        <x:v>Un operador conserva permisos superiores a su necesidad.</x:v>
      </x:c>
      <x:c r="E26" s="24" t="str">
        <x:v>Privilegios permanentes, grupos anidados o cuentas compartidas.</x:v>
      </x:c>
      <x:c r="F26" s="24" t="str">
        <x:v>Cambios no autorizados a listas, permisos o automatizaciones.</x:v>
      </x:c>
      <x:c r="G26" s="24" t="str">
        <x:v>Gobierno técnico por validar.</x:v>
      </x:c>
      <x:c r="H26" s="24" t="str">
        <x:v>Mínimo privilegio, revisión periódica, cuentas nominativas y aprobación de cambios.</x:v>
      </x:c>
      <x:c r="I26" s="25" t="n">
        <x:v>3</x:v>
      </x:c>
      <x:c r="J26" s="25" t="n">
        <x:v>5</x:v>
      </x:c>
      <x:c r="K26" s="26" t="n">
        <x:f>I26*J26</x:f>
        <x:v>15</x:v>
      </x:c>
      <x:c r="L26" s="25" t="str">
        <x:f>IF(K26&gt;=17,"Crítico",IF(K26&gt;=10,"Alto",IF(K26&gt;=5,"Medio","Bajo")))</x:f>
        <x:v>Alto</x:v>
      </x:c>
      <x:c r="M26" s="25" t="str">
        <x:v>Por validar</x:v>
      </x:c>
      <x:c r="N26" s="25" t="str">
        <x:v>Seguridad / TI</x:v>
      </x:c>
      <x:c r="O26" s="25" t="n">
        <x:v>1</x:v>
      </x:c>
      <x:c r="P26" s="25" t="n">
        <x:v>4</x:v>
      </x:c>
      <x:c r="Q26" s="26" t="n">
        <x:f>O26*P26</x:f>
        <x:v>4</x:v>
      </x:c>
      <x:c r="R26" s="25" t="str">
        <x:f>IF(Q26&gt;=17,"Crítico",IF(Q26&gt;=10,"Alto",IF(Q26&gt;=5,"Medio","Bajo")))</x:f>
        <x:v>Bajo</x:v>
      </x:c>
      <x:c r="S26" s="24" t="str">
        <x:v>Revisión de roles privilegiados</x:v>
      </x:c>
      <x:c r="T26" s="24" t="str">
        <x:v>Mitigar</x:v>
      </x:c>
    </x:row>
    <x:row r="27" ht="58" customHeight="1">
      <x:c r="A27" s="24" t="str">
        <x:v>E-03</x:v>
      </x:c>
      <x:c r="B27" s="24" t="str">
        <x:v>Elevación de privilegios</x:v>
      </x:c>
      <x:c r="C27" s="24" t="str">
        <x:v>Respuesta de Tecnología</x:v>
      </x:c>
      <x:c r="D27" s="24" t="str">
        <x:v>El personal de Tecnología recibe acceso al archivo de nómina para contestar una extensión.</x:v>
      </x:c>
      <x:c r="E27" s="24" t="str">
        <x:v>Diseño que enlaza la fuente completa en vez del caso mínimo.</x:v>
      </x:c>
      <x:c r="F27" s="24" t="str">
        <x:v>Acceso innecesario a datos personales y salariales.</x:v>
      </x:c>
      <x:c r="G27" s="24" t="str">
        <x:v>Diseño final pendiente.</x:v>
      </x:c>
      <x:c r="H27" s="24" t="str">
        <x:v>Separar la solicitud del archivo fuente; exponer solo nombre, extensión y contexto mínimo.</x:v>
      </x:c>
      <x:c r="I27" s="25" t="n">
        <x:v>3</x:v>
      </x:c>
      <x:c r="J27" s="25" t="n">
        <x:v>5</x:v>
      </x:c>
      <x:c r="K27" s="26" t="n">
        <x:f>I27*J27</x:f>
        <x:v>15</x:v>
      </x:c>
      <x:c r="L27" s="25" t="str">
        <x:f>IF(K27&gt;=17,"Crítico",IF(K27&gt;=10,"Alto",IF(K27&gt;=5,"Medio","Bajo")))</x:f>
        <x:v>Alto</x:v>
      </x:c>
      <x:c r="M27" s="25" t="str">
        <x:v>Propuesto</x:v>
      </x:c>
      <x:c r="N27" s="25" t="str">
        <x:v>Arquitectura / Legal</x:v>
      </x:c>
      <x:c r="O27" s="25" t="n">
        <x:v>1</x:v>
      </x:c>
      <x:c r="P27" s="25" t="n">
        <x:v>5</x:v>
      </x:c>
      <x:c r="Q27" s="26" t="n">
        <x:f>O27*P27</x:f>
        <x:v>5</x:v>
      </x:c>
      <x:c r="R27" s="25" t="str">
        <x:f>IF(Q27&gt;=17,"Crítico",IF(Q27&gt;=10,"Alto",IF(Q27&gt;=5,"Medio","Bajo")))</x:f>
        <x:v>Medio</x:v>
      </x:c>
      <x:c r="S27" s="24" t="str">
        <x:v>Prueba de acceso con cuenta de Tecnología</x:v>
      </x:c>
      <x:c r="T27" s="24" t="str">
        <x:v>Mitigar</x:v>
      </x:c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8" customHeight="1">
      <x:c r="A30" s="29" t="str">
        <x:v>Fuentes principales: Microsoft Learn (permisos de SharePoint, conectores/DLP y aprobaciones de Power Automate) y OWASP Threat Modeling. Véase referencias.md en esta carpeta.</x:v>
      </x:c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</x:sheetData>
  <x:mergeCells>
    <x:mergeCell ref="A2:T2"/>
    <x:mergeCell ref="A3:T3"/>
    <x:mergeCell ref="A30:T30"/>
  </x:mergeCells>
  <x:conditionalFormatting sqref="L9:L27">
    <x:cfRule type="containsText" dxfId="0" priority="1" operator="containsText" text="Crítico"/>
    <x:cfRule type="containsText" dxfId="1" priority="2" operator="containsText" text="Alto"/>
    <x:cfRule type="containsText" dxfId="2" priority="3" operator="containsText" text="Medio"/>
    <x:cfRule type="containsText" dxfId="3" priority="4" operator="containsText" text="Bajo"/>
  </x:conditionalFormatting>
  <x:conditionalFormatting sqref="R9:R27">
    <x:cfRule type="containsText" dxfId="4" priority="5" operator="containsText" text="Crítico"/>
    <x:cfRule type="containsText" dxfId="5" priority="6" operator="containsText" text="Alto"/>
    <x:cfRule type="containsText" dxfId="6" priority="7" operator="containsText" text="Medio"/>
    <x:cfRule type="containsText" dxfId="7" priority="8" operator="containsText" text="Bajo"/>
  </x:conditionalFormatting>
  <x:conditionalFormatting sqref="M9:M27">
    <x:cfRule type="containsText" dxfId="8" priority="9" operator="containsText" text="Pendiente"/>
    <x:cfRule type="containsText" dxfId="9" priority="10" operator="containsText" text="Por validar"/>
    <x:cfRule type="containsText" dxfId="10" priority="11" operator="containsText" text="Parcial"/>
    <x:cfRule type="containsText" dxfId="11" priority="12" operator="containsText" text="Propuesto"/>
    <x:cfRule type="containsText" dxfId="12" priority="13" operator="containsText" text="Existe"/>
    <x:cfRule type="containsText" dxfId="13" priority="14" operator="containsText" text="Cumple"/>
    <x:cfRule type="containsText" dxfId="14" priority="15" operator="containsText" text="No aplica"/>
  </x:conditionalFormatting>
  <x:dataValidations count="7">
    <x:dataValidation type="list" sqref="B9:B27">
      <x:formula1>"Suplantación,Manipulación,Repudio,Divulgación de información,Denegación de servicio,Elevación de privilegios"</x:formula1>
    </x:dataValidation>
    <x:dataValidation type="whole" operator="between" sqref="I9:I27">
      <x:formula1>1</x:formula1>
      <x:formula2>5</x:formula2>
    </x:dataValidation>
    <x:dataValidation type="whole" operator="between" sqref="J9:J27">
      <x:formula1>1</x:formula1>
      <x:formula2>5</x:formula2>
    </x:dataValidation>
    <x:dataValidation type="whole" operator="between" sqref="O9:O27">
      <x:formula1>1</x:formula1>
      <x:formula2>5</x:formula2>
    </x:dataValidation>
    <x:dataValidation type="whole" operator="between" sqref="P9:P27">
      <x:formula1>1</x:formula1>
      <x:formula2>5</x:formula2>
    </x:dataValidation>
    <x:dataValidation type="list" sqref="M9:M27">
      <x:formula1>"Existe,Propuesto,Por validar"</x:formula1>
    </x:dataValidation>
    <x:dataValidation type="list" sqref="T9:T27">
      <x:formula1>"Mitigar,Aceptar,Transferir,Evitar"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0e3d4b328a4f38"/>
  </x:tableParts>
</x:worksheet>
</file>