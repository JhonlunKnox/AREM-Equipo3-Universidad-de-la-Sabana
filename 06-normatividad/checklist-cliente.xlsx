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1eceaac47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9ddb891a4c63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"/>
    <x:numFmt numFmtId="202" formatCode="General"/>
  </x:numFmts>
  <x:fonts count="7">
    <x:font>
      <x:sz val="11"/>
      <x:name val="Carlito"/>
    </x:font>
    <x:font>
      <x:sz val="10"/>
      <x:color rgb="FF222222"/>
      <x:name val="Arial"/>
    </x:font>
    <x:font>
      <x:b/>
      <x:sz val="14"/>
      <x:color rgb="FFFFFFFF"/>
      <x:name val="Arial"/>
    </x:font>
    <x:font>
      <x:i/>
      <x:sz val="9"/>
      <x:color rgb="FF404040"/>
      <x:name val="Arial"/>
    </x:font>
    <x:font>
      <x:b/>
      <x:sz val="10"/>
      <x:color rgb="FF1F3864"/>
      <x:name val="Arial"/>
    </x:font>
    <x:font>
      <x:b/>
      <x:sz val="9"/>
      <x:color rgb="FFFFFFFF"/>
      <x:name val="Arial"/>
    </x:font>
    <x:font>
      <x:i/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5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201" fontId="1" fillId="0" borderId="4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5C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5C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704cf75ab4db5" /><Relationship Type="http://schemas.openxmlformats.org/officeDocument/2006/relationships/theme" Target="/xl/theme/theme1.xml" Id="R90ce0a9787b34ccb" /><Relationship Type="http://schemas.openxmlformats.org/officeDocument/2006/relationships/sharedStrings" Target="/xl/sharedStrings.xml" Id="R4c26129414a642e3" /><Relationship Type="http://schemas.openxmlformats.org/officeDocument/2006/relationships/worksheet" Target="/xl/worksheets/sheet1.xml" Id="R9ddb891a4c634724" /></Relationships>
</file>

<file path=xl/tables/table1.xml><?xml version="1.0" encoding="utf-8"?>
<x:table xmlns:x="http://schemas.openxmlformats.org/spreadsheetml/2006/main" id="1" name="ComplianceTable" displayName="ComplianceTable" ref="A8:M26" headerRowCount="1" totalsRowCount="0" totalsRowShown="0">
  <x:autoFilter ref="A8:M26"/>
  <x:tableColumns count="13">
    <x:tableColumn id="1" name="ID"/>
    <x:tableColumn id="2" name="Fuente"/>
    <x:tableColumn id="3" name="Referencia"/>
    <x:tableColumn id="4" name="Criterio"/>
    <x:tableColumn id="5" name="Aplicación al proyecto"/>
    <x:tableColumn id="6" name="Evidencia esperada"/>
    <x:tableColumn id="7" name="Estado"/>
    <x:tableColumn id="8" name="Brecha"/>
    <x:tableColumn id="9" name="Acción"/>
    <x:tableColumn id="10" name="Responsable"/>
    <x:tableColumn id="11" name="Hito objetivo propuesto"/>
    <x:tableColumn id="12" name="Prioridad"/>
    <x:tableColumn id="13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486b58787e4cfb" /></Relationships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34" hidden="0" customWidth="1"/>
    <x:col min="5" max="5" width="42" hidden="0" customWidth="1"/>
    <x:col min="6" max="6" width="37" hidden="0" customWidth="1"/>
    <x:col min="7" max="7" width="14" hidden="0" customWidth="1"/>
    <x:col min="8" max="8" width="40" hidden="0" customWidth="1"/>
    <x:col min="9" max="9" width="38" hidden="0" customWidth="1"/>
    <x:col min="10" max="10" width="25" hidden="0" customWidth="1"/>
    <x:col min="11" max="11" width="25" hidden="0" customWidth="1"/>
    <x:col min="12" max="12" width="13" hidden="0" customWidth="1"/>
    <x:col min="13" max="13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5" t="str">
        <x:v>Checklist normativo y de gobierno de datos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4" customHeight="1">
      <x:c r="A3" s="8" t="str">
        <x:v>Evaluación preliminar; no es concepto jurídico. Políticas, base jurídica, permisos y retención por validar. Hitos propuestos, no fechas acordadas; cada responsable debe confirmarlos.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A4" s="13" t="str">
        <x:v>Criterios</x:v>
      </x:c>
      <x:c r="B4" s="15" t="n">
        <x:f>COUNTA(A9:A26)</x:f>
        <x:v>18</x:v>
      </x:c>
      <x:c r="C4" s="16" t="str"/>
      <x:c r="D4" s="17" t="str">
        <x:v>Cumple</x:v>
      </x:c>
      <x:c r="E4" s="15" t="n">
        <x:f>COUNTIF(G9:G26,"Cumple")</x:f>
        <x:v>1</x:v>
      </x:c>
      <x:c r="F4" s="16" t="str"/>
      <x:c r="G4" s="17" t="str">
        <x:v>Parcial</x:v>
      </x:c>
      <x:c r="H4" s="15" t="n">
        <x:f>COUNTIF(G9:G26,"Parcial")</x:f>
        <x:v>7</x:v>
      </x:c>
      <x:c r="I4" s="16" t="str"/>
      <x:c r="J4" s="17" t="str">
        <x:v>Pendiente/validar</x:v>
      </x:c>
      <x:c r="K4" s="15" t="n">
        <x:f>COUNTIF(G9:G26,"Pendiente")+COUNTIF(G9:G26,"Por validar")</x:f>
        <x:v>10</x:v>
      </x:c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42" customHeight="1">
      <x:c r="A8" s="21" t="str">
        <x:v>ID</x:v>
      </x:c>
      <x:c r="B8" s="21" t="str">
        <x:v>Fuente</x:v>
      </x:c>
      <x:c r="C8" s="21" t="str">
        <x:v>Referencia</x:v>
      </x:c>
      <x:c r="D8" s="21" t="str">
        <x:v>Criterio</x:v>
      </x:c>
      <x:c r="E8" s="21" t="str">
        <x:v>Aplicación al proyecto</x:v>
      </x:c>
      <x:c r="F8" s="21" t="str">
        <x:v>Evidencia esperada</x:v>
      </x:c>
      <x:c r="G8" s="21" t="str">
        <x:v>Estado</x:v>
      </x:c>
      <x:c r="H8" s="21" t="str">
        <x:v>Brecha</x:v>
      </x:c>
      <x:c r="I8" s="21" t="str">
        <x:v>Acción</x:v>
      </x:c>
      <x:c r="J8" s="21" t="str">
        <x:v>Responsable</x:v>
      </x:c>
      <x:c r="K8" s="21" t="str">
        <x:v>Hito objetivo propuesto</x:v>
      </x:c>
      <x:c r="L8" s="21" t="str">
        <x:v>Prioridad</x:v>
      </x:c>
      <x:c r="M8" s="21" t="str">
        <x:v>Observaciones</x:v>
      </x:c>
    </x:row>
    <x:row r="9" ht="64" customHeight="1">
      <x:c r="A9" s="24" t="str">
        <x:v>GOV-01</x:v>
      </x:c>
      <x:c r="B9" s="24" t="str">
        <x:v>Ley 1581 de 2012</x:v>
      </x:c>
      <x:c r="C9" s="24" t="str">
        <x:v>Art. 4, principio de finalidad</x:v>
      </x:c>
      <x:c r="D9" s="24" t="str">
        <x:v>Finalidad legítima, informada y delimitada.</x:v>
      </x:c>
      <x:c r="E9" s="24" t="str">
        <x:v>Documentar que los datos se usan para mantener actualizado el directorio interno y gestionar confirmaciones.</x:v>
      </x:c>
      <x:c r="F9" s="24" t="str">
        <x:v>Declaración de finalidad aprobada y visible en el proceso.</x:v>
      </x:c>
      <x:c r="G9" s="25" t="str">
        <x:v>Parcial</x:v>
      </x:c>
      <x:c r="H9" s="24" t="str">
        <x:v>La finalidad se describe en el proyecto, pero no consta validación institucional.</x:v>
      </x:c>
      <x:c r="I9" s="24" t="str">
        <x:v>Validar redacción y vincularla al aviso o política aplicable.</x:v>
      </x:c>
      <x:c r="J9" s="24" t="str">
        <x:v>Dueña del proceso / Jurídica</x:v>
      </x:c>
      <x:c r="K9" s="30" t="str">
        <x:v>Antes de usar datos reales</x:v>
      </x:c>
      <x:c r="L9" s="25" t="str">
        <x:v>Alta</x:v>
      </x:c>
      <x:c r="M9" s="24" t="str">
        <x:v>Evitar usos secundarios no documentados.</x:v>
      </x:c>
    </x:row>
    <x:row r="10" ht="64" customHeight="1">
      <x:c r="A10" s="24" t="str">
        <x:v>LEG-01</x:v>
      </x:c>
      <x:c r="B10" s="24" t="str">
        <x:v>Ley 1581 de 2012</x:v>
      </x:c>
      <x:c r="C10" s="24" t="str">
        <x:v>Arts. 9 y 10</x:v>
      </x:c>
      <x:c r="D10" s="24" t="str">
        <x:v>Contar con autorización o identificar una excepción legal aplicable.</x:v>
      </x:c>
      <x:c r="E10" s="24" t="str">
        <x:v>Definir la base jurídica para tratar nombre, correo, cargo y extensión en el contexto laboral.</x:v>
      </x:c>
      <x:c r="F10" s="24" t="str">
        <x:v>Concepto de Jurídica/Privacidad y, si aplica, soporte de autorización.</x:v>
      </x:c>
      <x:c r="G10" s="25" t="str">
        <x:v>Pendiente</x:v>
      </x:c>
      <x:c r="H10" s="24" t="str">
        <x:v>No se identificó formalmente la base de tratamiento.</x:v>
      </x:c>
      <x:c r="I10" s="24" t="str">
        <x:v>Solicitar definición documentada antes de producción.</x:v>
      </x:c>
      <x:c r="J10" s="24" t="str">
        <x:v>Jurídica / Privacidad</x:v>
      </x:c>
      <x:c r="K10" s="30" t="str">
        <x:v>Antes de usar datos reales</x:v>
      </x:c>
      <x:c r="L10" s="25" t="str">
        <x:v>Crítica</x:v>
      </x:c>
      <x:c r="M10" s="24" t="str">
        <x:v>No asumir que la relación laboral elimina el análisis.</x:v>
      </x:c>
    </x:row>
    <x:row r="11" ht="64" customHeight="1">
      <x:c r="A11" s="24" t="str">
        <x:v>TRN-01</x:v>
      </x:c>
      <x:c r="B11" s="24" t="str">
        <x:v>Ley 1581 de 2012</x:v>
      </x:c>
      <x:c r="C11" s="24" t="str">
        <x:v>Arts. 12 y 13; deber de información</x:v>
      </x:c>
      <x:c r="D11" s="24" t="str">
        <x:v>Informar finalidad, derechos y canales de atención.</x:v>
      </x:c>
      <x:c r="E11" s="24" t="str">
        <x:v>La solicitud de confirmación debe indicar por qué se pide el dato y dónde ejercer derechos.</x:v>
      </x:c>
      <x:c r="F11" s="24" t="str">
        <x:v>Texto de información aprobado en formulario/notificación.</x:v>
      </x:c>
      <x:c r="G11" s="25" t="str">
        <x:v>Pendiente</x:v>
      </x:c>
      <x:c r="H11" s="24" t="str">
        <x:v>Las plantillas finales aún no existen.</x:v>
      </x:c>
      <x:c r="I11" s="24" t="str">
        <x:v>Diseñar y aprobar texto breve de información.</x:v>
      </x:c>
      <x:c r="J11" s="24" t="str">
        <x:v>Jurídica / Comunicaciones</x:v>
      </x:c>
      <x:c r="K11" s="30" t="str">
        <x:v>Antes del piloto</x:v>
      </x:c>
      <x:c r="L11" s="25" t="str">
        <x:v>Alta</x:v>
      </x:c>
      <x:c r="M11" s="24" t="str">
        <x:v>Incluir canal de consultas y reclamos.</x:v>
      </x:c>
    </x:row>
    <x:row r="12" ht="64" customHeight="1">
      <x:c r="A12" s="24" t="str">
        <x:v>DAT-01</x:v>
      </x:c>
      <x:c r="B12" s="24" t="str">
        <x:v>Ley 1581 de 2012</x:v>
      </x:c>
      <x:c r="C12" s="24" t="str">
        <x:v>Art. 4, libertad/finalidad/circulación restringida</x:v>
      </x:c>
      <x:c r="D12" s="24" t="str">
        <x:v>Recolectar y mostrar solo los datos necesarios.</x:v>
      </x:c>
      <x:c r="E12" s="24" t="str">
        <x:v>La confirmación requiere identidad laboral y extensión; no debe exponer salario ni nómina completa.</x:v>
      </x:c>
      <x:c r="F12" s="24" t="str">
        <x:v>Diccionario de datos mínimo y revisión de plantillas.</x:v>
      </x:c>
      <x:c r="G12" s="25" t="str">
        <x:v>Parcial</x:v>
      </x:c>
      <x:c r="H12" s="24" t="str">
        <x:v>El modelo propone minimización, pero falta validación de campos.</x:v>
      </x:c>
      <x:c r="I12" s="24" t="str">
        <x:v>Aprobar catálogo mínimo por rol y canal.</x:v>
      </x:c>
      <x:c r="J12" s="24" t="str">
        <x:v>Arquitectura / Privacidad</x:v>
      </x:c>
      <x:c r="K12" s="30" t="str">
        <x:v>Antes del piloto</x:v>
      </x:c>
      <x:c r="L12" s="25" t="str">
        <x:v>Alta</x:v>
      </x:c>
      <x:c r="M12" s="24" t="str">
        <x:v>Separar estrictamente nómina de la solicitud.</x:v>
      </x:c>
    </x:row>
    <x:row r="13" ht="64" customHeight="1">
      <x:c r="A13" s="24" t="str">
        <x:v>QUAL-01</x:v>
      </x:c>
      <x:c r="B13" s="24" t="str">
        <x:v>Ley 1581 de 2012</x:v>
      </x:c>
      <x:c r="C13" s="24" t="str">
        <x:v>Art. 4, principio de veracidad o calidad</x:v>
      </x:c>
      <x:c r="D13" s="24" t="str">
        <x:v>Mantener información veraz, completa, exacta y actualizada.</x:v>
      </x:c>
      <x:c r="E13" s="24" t="str">
        <x:v>La conciliación mensual, confirmación y gestión de excepciones soportan la calidad del directorio.</x:v>
      </x:c>
      <x:c r="F13" s="24" t="str">
        <x:v>Reglas de validación, muestreo y registro de excepciones.</x:v>
      </x:c>
      <x:c r="G13" s="25" t="str">
        <x:v>Parcial</x:v>
      </x:c>
      <x:c r="H13" s="24" t="str">
        <x:v>Los controles están diseñados, no ejecutados.</x:v>
      </x:c>
      <x:c r="I13" s="24" t="str">
        <x:v>Definir umbral de calidad, muestreo y aceptación mensual.</x:v>
      </x:c>
      <x:c r="J13" s="24" t="str">
        <x:v>Gestora del proceso</x:v>
      </x:c>
      <x:c r="K13" s="30" t="str">
        <x:v>En el piloto y cada corte</x:v>
      </x:c>
      <x:c r="L13" s="25" t="str">
        <x:v>Alta</x:v>
      </x:c>
      <x:c r="M13" s="24" t="str">
        <x:v>Medir coincidencias, diferencias y casos sin resolver.</x:v>
      </x:c>
    </x:row>
    <x:row r="14" ht="64" customHeight="1">
      <x:c r="A14" s="24" t="str">
        <x:v>ACC-01</x:v>
      </x:c>
      <x:c r="B14" s="24" t="str">
        <x:v>Ley 1581 de 2012</x:v>
      </x:c>
      <x:c r="C14" s="24" t="str">
        <x:v>Art. 4, acceso y circulación restringida</x:v>
      </x:c>
      <x:c r="D14" s="24" t="str">
        <x:v>Limitar acceso a personas autorizadas.</x:v>
      </x:c>
      <x:c r="E14" s="24" t="str">
        <x:v>Separar biblioteca de nómina, lista operativa y respuestas; aplicar mínimo privilegio.</x:v>
      </x:c>
      <x:c r="F14" s="24" t="str">
        <x:v>Matriz de permisos, grupos y prueba por rol.</x:v>
      </x:c>
      <x:c r="G14" s="25" t="str">
        <x:v>Pendiente</x:v>
      </x:c>
      <x:c r="H14" s="24" t="str">
        <x:v>No se conocen grupos ni herencia de permisos del cliente.</x:v>
      </x:c>
      <x:c r="I14" s="24" t="str">
        <x:v>Inventariar y probar accesos antes del piloto.</x:v>
      </x:c>
      <x:c r="J14" s="24" t="str">
        <x:v>TI SharePoint / Seguridad</x:v>
      </x:c>
      <x:c r="K14" s="30" t="str">
        <x:v>Antes de usar datos reales</x:v>
      </x:c>
      <x:c r="L14" s="25" t="str">
        <x:v>Crítica</x:v>
      </x:c>
      <x:c r="M14" s="24" t="str">
        <x:v>No compartir enlaces abiertos o anónimos.</x:v>
      </x:c>
    </x:row>
    <x:row r="15" ht="64" customHeight="1">
      <x:c r="A15" s="24" t="str">
        <x:v>SEC-01</x:v>
      </x:c>
      <x:c r="B15" s="24" t="str">
        <x:v>Ley 1581 de 2012</x:v>
      </x:c>
      <x:c r="C15" s="24" t="str">
        <x:v>Arts. 4(g), 17(d) y 18(b)</x:v>
      </x:c>
      <x:c r="D15" s="24" t="str">
        <x:v>Aplicar medidas técnicas, humanas y administrativas razonables.</x:v>
      </x:c>
      <x:c r="E15" s="24" t="str">
        <x:v>MFA, control de versiones, auditoría, copropietarios y contingencia.</x:v>
      </x:c>
      <x:c r="F15" s="24" t="str">
        <x:v>Configuración, capturas, registros de prueba y procedimiento.</x:v>
      </x:c>
      <x:c r="G15" s="25" t="str">
        <x:v>Parcial</x:v>
      </x:c>
      <x:c r="H15" s="24" t="str">
        <x:v>Los controles están propuestos; falta confirmar capacidad/licenciamiento.</x:v>
      </x:c>
      <x:c r="I15" s="24" t="str">
        <x:v>Validar controles con Seguridad y documentar evidencias.</x:v>
      </x:c>
      <x:c r="J15" s="24" t="str">
        <x:v>Seguridad / TI</x:v>
      </x:c>
      <x:c r="K15" s="30" t="str">
        <x:v>Antes del piloto</x:v>
      </x:c>
      <x:c r="L15" s="25" t="str">
        <x:v>Crítica</x:v>
      </x:c>
      <x:c r="M15" s="24" t="str">
        <x:v>Priorizar identidad, permisos y archivo de nómina.</x:v>
      </x:c>
    </x:row>
    <x:row r="16" ht="64" customHeight="1">
      <x:c r="A16" s="24" t="str">
        <x:v>CONF-01</x:v>
      </x:c>
      <x:c r="B16" s="24" t="str">
        <x:v>Ley 1581 de 2012</x:v>
      </x:c>
      <x:c r="C16" s="24" t="str">
        <x:v>Art. 4(h), principio de confidencialidad</x:v>
      </x:c>
      <x:c r="D16" s="24" t="str">
        <x:v>Mantener reserva incluso después de terminar la relación con el tratamiento.</x:v>
      </x:c>
      <x:c r="E16" s="24" t="str">
        <x:v>Equipo académico y usuarios del proceso deben evitar copias, reenvíos y exposición innecesaria.</x:v>
      </x:c>
      <x:c r="F16" s="24" t="str">
        <x:v>Compromisos, procedimientos y evidencia de cierre de accesos.</x:v>
      </x:c>
      <x:c r="G16" s="25" t="str">
        <x:v>Parcial</x:v>
      </x:c>
      <x:c r="H16" s="24" t="str">
        <x:v>Se acordó trabajar con datos ficticios; falta procedimiento de cierre.</x:v>
      </x:c>
      <x:c r="I16" s="24" t="str">
        <x:v>Formalizar manejo de evidencias y cierre del proyecto.</x:v>
      </x:c>
      <x:c r="J16" s="24" t="str">
        <x:v>Líder del proyecto / Cliente</x:v>
      </x:c>
      <x:c r="K16" s="30" t="str">
        <x:v>Antes de compartir evidencias</x:v>
      </x:c>
      <x:c r="L16" s="25" t="str">
        <x:v>Alta</x:v>
      </x:c>
      <x:c r="M16" s="24" t="str">
        <x:v>Aplica también a capturas y exportaciones.</x:v>
      </x:c>
    </x:row>
    <x:row r="17" ht="64" customHeight="1">
      <x:c r="A17" s="24" t="str">
        <x:v>ROL-01</x:v>
      </x:c>
      <x:c r="B17" s="24" t="str">
        <x:v>Ley 1581 de 2012</x:v>
      </x:c>
      <x:c r="C17" s="24" t="str">
        <x:v>Arts. 17 y 18</x:v>
      </x:c>
      <x:c r="D17" s="24" t="str">
        <x:v>Identificar Responsable y Encargados y sus deberes.</x:v>
      </x:c>
      <x:c r="E17" s="24" t="str">
        <x:v>Definir si la organización es Responsable y qué terceros/plataformas actúan como Encargados.</x:v>
      </x:c>
      <x:c r="F17" s="24" t="str">
        <x:v>Mapa de roles, contratos/políticas y responsables internos.</x:v>
      </x:c>
      <x:c r="G17" s="25" t="str">
        <x:v>Pendiente</x:v>
      </x:c>
      <x:c r="H17" s="24" t="str">
        <x:v>Los roles legales no están confirmados.</x:v>
      </x:c>
      <x:c r="I17" s="24" t="str">
        <x:v>Realizar taller con Jurídica, Privacidad y Compras/TI.</x:v>
      </x:c>
      <x:c r="J17" s="24" t="str">
        <x:v>Jurídica / Privacidad</x:v>
      </x:c>
      <x:c r="K17" s="30" t="str">
        <x:v>Antes de usar datos reales</x:v>
      </x:c>
      <x:c r="L17" s="25" t="str">
        <x:v>Crítica</x:v>
      </x:c>
      <x:c r="M17" s="24" t="str">
        <x:v>No confundir rol operativo con rol jurídico.</x:v>
      </x:c>
    </x:row>
    <x:row r="18" ht="64" customHeight="1">
      <x:c r="A18" s="24" t="str">
        <x:v>DSR-01</x:v>
      </x:c>
      <x:c r="B18" s="24" t="str">
        <x:v>Ley 1581 de 2012</x:v>
      </x:c>
      <x:c r="C18" s="24" t="str">
        <x:v>Arts. 8, 14 y 15</x:v>
      </x:c>
      <x:c r="D18" s="24" t="str">
        <x:v>Atender conocimiento, actualización, rectificación, consultas y reclamos.</x:v>
      </x:c>
      <x:c r="E18" s="24" t="str">
        <x:v>La solución debe remitir al canal institucional y permitir corregir datos asociados a la persona.</x:v>
      </x:c>
      <x:c r="F18" s="24" t="str">
        <x:v>Procedimiento, SLA, responsable y registro de casos.</x:v>
      </x:c>
      <x:c r="G18" s="25" t="str">
        <x:v>Pendiente</x:v>
      </x:c>
      <x:c r="H18" s="24" t="str">
        <x:v>No se ha conectado el proceso con el canal de derechos del titular.</x:v>
      </x:c>
      <x:c r="I18" s="24" t="str">
        <x:v>Documentar derivación y trazabilidad del caso.</x:v>
      </x:c>
      <x:c r="J18" s="24" t="str">
        <x:v>Privacidad / Servicio al empleado</x:v>
      </x:c>
      <x:c r="K18" s="30" t="str">
        <x:v>Antes del piloto</x:v>
      </x:c>
      <x:c r="L18" s="25" t="str">
        <x:v>Alta</x:v>
      </x:c>
      <x:c r="M18" s="24" t="str">
        <x:v>El flujo operativo no reemplaza el procedimiento legal.</x:v>
      </x:c>
    </x:row>
    <x:row r="19" ht="64" customHeight="1">
      <x:c r="A19" s="24" t="str">
        <x:v>RET-01</x:v>
      </x:c>
      <x:c r="B19" s="24" t="str">
        <x:v>Decreto 1074 de 2015</x:v>
      </x:c>
      <x:c r="C19" s="24" t="str">
        <x:v>Cap. 25, principios y responsabilidad demostrada</x:v>
      </x:c>
      <x:c r="D19" s="24" t="str">
        <x:v>Definir retención y eliminación proporcional a la finalidad.</x:v>
      </x:c>
      <x:c r="E19" s="24" t="str">
        <x:v>Establecer cuánto se conservan archivos mensuales, respuestas, bitácoras y exportaciones.</x:v>
      </x:c>
      <x:c r="F19" s="24" t="str">
        <x:v>Tabla de retención aplicable, regla configurada y evidencia de eliminación.</x:v>
      </x:c>
      <x:c r="G19" s="25" t="str">
        <x:v>Pendiente</x:v>
      </x:c>
      <x:c r="H19" s="24" t="str">
        <x:v>No existe plazo aprobado en la documentación del proyecto.</x:v>
      </x:c>
      <x:c r="I19" s="24" t="str">
        <x:v>Acordar plazos con Archivo, Jurídica y Privacidad.</x:v>
      </x:c>
      <x:c r="J19" s="24" t="str">
        <x:v>Archivo / Jurídica / TI</x:v>
      </x:c>
      <x:c r="K19" s="30" t="str">
        <x:v>Antes de usar datos reales</x:v>
      </x:c>
      <x:c r="L19" s="25" t="str">
        <x:v>Crítica</x:v>
      </x:c>
      <x:c r="M19" s="24" t="str">
        <x:v>No inventar un plazo técnico sin política institucional.</x:v>
      </x:c>
    </x:row>
    <x:row r="20" ht="64" customHeight="1">
      <x:c r="A20" s="24" t="str">
        <x:v>INC-01</x:v>
      </x:c>
      <x:c r="B20" s="24" t="str">
        <x:v>Ley 1581 / guía SIC</x:v>
      </x:c>
      <x:c r="C20" s="24" t="str">
        <x:v>Deber de seguridad y responsabilidad demostrada</x:v>
      </x:c>
      <x:c r="D20" s="24" t="str">
        <x:v>Gestionar incidentes y escalarlos por el canal institucional.</x:v>
      </x:c>
      <x:c r="E20" s="24" t="str">
        <x:v>Prever exposición de nómina, envío erróneo o acceso no autorizado.</x:v>
      </x:c>
      <x:c r="F20" s="24" t="str">
        <x:v>Procedimiento, contactos, simulacro y registro de incidente.</x:v>
      </x:c>
      <x:c r="G20" s="25" t="str">
        <x:v>Pendiente</x:v>
      </x:c>
      <x:c r="H20" s="24" t="str">
        <x:v>No se ha incorporado el procedimiento corporativo.</x:v>
      </x:c>
      <x:c r="I20" s="24" t="str">
        <x:v>Vincular el flujo al protocolo de incidentes de datos.</x:v>
      </x:c>
      <x:c r="J20" s="24" t="str">
        <x:v>Seguridad / Privacidad</x:v>
      </x:c>
      <x:c r="K20" s="30" t="str">
        <x:v>Antes del piloto</x:v>
      </x:c>
      <x:c r="L20" s="25" t="str">
        <x:v>Crítica</x:v>
      </x:c>
      <x:c r="M20" s="24" t="str">
        <x:v>La evaluación regulatoria corresponde al cliente.</x:v>
      </x:c>
    </x:row>
    <x:row r="21" ht="64" customHeight="1">
      <x:c r="A21" s="24" t="str">
        <x:v>ACC-02</x:v>
      </x:c>
      <x:c r="B21" s="24" t="str">
        <x:v>Guía SIC de responsabilidad demostrada</x:v>
      </x:c>
      <x:c r="C21" s="24" t="str">
        <x:v>Gestión de acceso y seguimiento</x:v>
      </x:c>
      <x:c r="D21" s="24" t="str">
        <x:v>Revisar periódicamente accesos y privilegios.</x:v>
      </x:c>
      <x:c r="E21" s="24" t="str">
        <x:v>Verificar propietarios de flujos, grupos del sitio y permisos a la biblioteca.</x:v>
      </x:c>
      <x:c r="F21" s="24" t="str">
        <x:v>Acta o reporte periódico de revisión.</x:v>
      </x:c>
      <x:c r="G21" s="25" t="str">
        <x:v>Pendiente</x:v>
      </x:c>
      <x:c r="H21" s="24" t="str">
        <x:v>No se ha definido frecuencia ni responsable.</x:v>
      </x:c>
      <x:c r="I21" s="24" t="str">
        <x:v>Incluir revisión en el calendario operativo.</x:v>
      </x:c>
      <x:c r="J21" s="24" t="str">
        <x:v>Seguridad / TI</x:v>
      </x:c>
      <x:c r="K21" s="30" t="str">
        <x:v>Antes del piloto; luego periódica</x:v>
      </x:c>
      <x:c r="L21" s="25" t="str">
        <x:v>Alta</x:v>
      </x:c>
      <x:c r="M21" s="24" t="str">
        <x:v>Revisar también cuentas inactivas y externas.</x:v>
      </x:c>
    </x:row>
    <x:row r="22" ht="64" customHeight="1">
      <x:c r="A22" s="24" t="str">
        <x:v>EVID-01</x:v>
      </x:c>
      <x:c r="B22" s="24" t="str">
        <x:v>Decreto 1074 / guía SIC</x:v>
      </x:c>
      <x:c r="C22" s="24" t="str">
        <x:v>Responsabilidad demostrada</x:v>
      </x:c>
      <x:c r="D22" s="24" t="str">
        <x:v>Conservar evidencia de políticas, decisiones, controles y seguimiento.</x:v>
      </x:c>
      <x:c r="E22" s="24" t="str">
        <x:v>Mantener matriz, pruebas, aprobaciones, versiones y métricas del proceso.</x:v>
      </x:c>
      <x:c r="F22" s="24" t="str">
        <x:v>Carpeta de evidencias con control de acceso y responsables.</x:v>
      </x:c>
      <x:c r="G22" s="25" t="str">
        <x:v>Parcial</x:v>
      </x:c>
      <x:c r="H22" s="24" t="str">
        <x:v>El repositorio contiene diseño, pero no evidencias del cliente.</x:v>
      </x:c>
      <x:c r="I22" s="24" t="str">
        <x:v>Definir expediente operativo y responsable de custodia.</x:v>
      </x:c>
      <x:c r="J22" s="24" t="str">
        <x:v>Dueña del proceso / Privacidad</x:v>
      </x:c>
      <x:c r="K22" s="30" t="str">
        <x:v>Antes del piloto y cada revisión</x:v>
      </x:c>
      <x:c r="L22" s="25" t="str">
        <x:v>Alta</x:v>
      </x:c>
      <x:c r="M22" s="24" t="str">
        <x:v>La evidencia debe ser verificable y fechada.</x:v>
      </x:c>
    </x:row>
    <x:row r="23" ht="64" customHeight="1">
      <x:c r="A23" s="24" t="str">
        <x:v>TRANS-01</x:v>
      </x:c>
      <x:c r="B23" s="24" t="str">
        <x:v>Decreto 1074 de 2015</x:v>
      </x:c>
      <x:c r="C23" s="24" t="str">
        <x:v>Reglas sobre transmisión de datos</x:v>
      </x:c>
      <x:c r="D23" s="24" t="str">
        <x:v>Validar condiciones con proveedores/encargados y ubicación del tratamiento cuando aplique.</x:v>
      </x:c>
      <x:c r="E23" s="24" t="str">
        <x:v>Revisar términos corporativos de Microsoft 365 y cualquier tercero que reciba datos.</x:v>
      </x:c>
      <x:c r="F23" s="24" t="str">
        <x:v>Concepto de Compras/Jurídica, contratos y anexos de tratamiento.</x:v>
      </x:c>
      <x:c r="G23" s="25" t="str">
        <x:v>Por validar</x:v>
      </x:c>
      <x:c r="H23" s="24" t="str">
        <x:v>El equipo no tiene acceso a contratos ni configuración del tenant.</x:v>
      </x:c>
      <x:c r="I23" s="24" t="str">
        <x:v>Solicitar revisión corporativa antes del despliegue.</x:v>
      </x:c>
      <x:c r="J23" s="24" t="str">
        <x:v>Jurídica / Compras / TI</x:v>
      </x:c>
      <x:c r="K23" s="30" t="str">
        <x:v>Antes del despliegue</x:v>
      </x:c>
      <x:c r="L23" s="25" t="str">
        <x:v>Alta</x:v>
      </x:c>
      <x:c r="M23" s="24" t="str">
        <x:v>No concluir transferencia internacional sin análisis contractual.</x:v>
      </x:c>
    </x:row>
    <x:row r="24" ht="64" customHeight="1">
      <x:c r="A24" s="24" t="str">
        <x:v>DEV-01</x:v>
      </x:c>
      <x:c r="B24" s="24" t="str">
        <x:v>Privacidad desde el diseño</x:v>
      </x:c>
      <x:c r="C24" s="24" t="str">
        <x:v>Minimización y seguridad por defecto</x:v>
      </x:c>
      <x:c r="D24" s="24" t="str">
        <x:v>Usar datos sintéticos en desarrollo y pruebas.</x:v>
      </x:c>
      <x:c r="E24" s="24" t="str">
        <x:v>El prototipo académico debe evitar nómina real, correos reales y capturas productivas.</x:v>
      </x:c>
      <x:c r="F24" s="24" t="str">
        <x:v>Datos de prueba, checklist y revisión del repositorio.</x:v>
      </x:c>
      <x:c r="G24" s="25" t="str">
        <x:v>Parcial</x:v>
      </x:c>
      <x:c r="H24" s="24" t="str">
        <x:v>La regla está declarada; debe mantenerse en cada evidencia.</x:v>
      </x:c>
      <x:c r="I24" s="24" t="str">
        <x:v>Aplicar revisión previa a cada publicación o demo.</x:v>
      </x:c>
      <x:c r="J24" s="24" t="str">
        <x:v>Equipo del proyecto</x:v>
      </x:c>
      <x:c r="K24" s="30" t="str">
        <x:v>Antes de cada prueba o demo</x:v>
      </x:c>
      <x:c r="L24" s="25" t="str">
        <x:v>Alta</x:v>
      </x:c>
      <x:c r="M24" s="24" t="str">
        <x:v>Anonimizar también metadatos y nombres de archivos.</x:v>
      </x:c>
    </x:row>
    <x:row r="25" ht="104" customHeight="1">
      <x:c r="A25" s="24" t="str">
        <x:v>REPO-01</x:v>
      </x:c>
      <x:c r="B25" s="24" t="str">
        <x:v>Gobierno interno del proyecto</x:v>
      </x:c>
      <x:c r="C25" s="24" t="str">
        <x:v>README y repositorio académico</x:v>
      </x:c>
      <x:c r="D25" s="24" t="str">
        <x:v>No almacenar datos personales reales en GitHub.</x:v>
      </x:c>
      <x:c r="E25" s="24" t="str">
        <x:v>Repositorio limitado a documentación, diagramas y ejemplos ficticios.</x:v>
      </x:c>
      <x:c r="F25" s="24" t="str">
        <x:v>README, .gitignore y revisión del árbol de archivos de esta entrega antes del commit.</x:v>
      </x:c>
      <x:c r="G25" s="25" t="str">
        <x:v>Cumple</x:v>
      </x:c>
      <x:c r="H25" s="24" t="str">
        <x:v>No se observaron nóminas ni directorio operativo en los archivos revisados. Esto no certifica todo el historial.</x:v>
      </x:c>
      <x:c r="I25" s="24" t="str">
        <x:v>Revisar cada publicación; excluir datos reales y verificar que no estén ya versionados.</x:v>
      </x:c>
      <x:c r="J25" s="24" t="str">
        <x:v>Equipo del proyecto</x:v>
      </x:c>
      <x:c r="K25" s="30" t="str">
        <x:v>Antes de cada publicación</x:v>
      </x:c>
      <x:c r="L25" s="25" t="str">
        <x:v>Alta</x:v>
      </x:c>
      <x:c r="M25" s="24" t="str">
        <x:v>Cumple limitado al árbol revisado el 02/10/2026. No implica cumplimiento integral; reevaluar capturas y metadatos. Créditos académicos no son nómina.</x:v>
      </x:c>
    </x:row>
    <x:row r="26" ht="64" customHeight="1">
      <x:c r="A26" s="24" t="str">
        <x:v>EXIT-01</x:v>
      </x:c>
      <x:c r="B26" s="24" t="str">
        <x:v>Ley 1581 / confidencialidad</x:v>
      </x:c>
      <x:c r="C26" s="24" t="str">
        <x:v>Cierre del tratamiento y acceso</x:v>
      </x:c>
      <x:c r="D26" s="24" t="str">
        <x:v>Retirar accesos y eliminar copias cuando termine la necesidad.</x:v>
      </x:c>
      <x:c r="E26" s="24" t="str">
        <x:v>Cerrar cuentas, enlaces, descargas y evidencias temporales del equipo académico.</x:v>
      </x:c>
      <x:c r="F26" s="24" t="str">
        <x:v>Acta de cierre, inventario de copias y confirmación de eliminación.</x:v>
      </x:c>
      <x:c r="G26" s="25" t="str">
        <x:v>Pendiente</x:v>
      </x:c>
      <x:c r="H26" s="24" t="str">
        <x:v>No se ha definido el procedimiento de salida.</x:v>
      </x:c>
      <x:c r="I26" s="24" t="str">
        <x:v>Preparar checklist de cierre con el cliente.</x:v>
      </x:c>
      <x:c r="J26" s="24" t="str">
        <x:v>Líder del proyecto / Cliente</x:v>
      </x:c>
      <x:c r="K26" s="30" t="str">
        <x:v>Al cierre del proyecto</x:v>
      </x:c>
      <x:c r="L26" s="25" t="str">
        <x:v>Alta</x:v>
      </x:c>
      <x:c r="M26" s="24" t="str">
        <x:v>Conservar solo lo exigido y autorizado.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30" customHeight="1">
      <x:c r="A29" s="29" t="str">
        <x:v>Fuentes principales: Ley 1581 de 2012, Decreto 1074 de 2015 y Guía de responsabilidad demostrada de la SIC. Véase referencias.md en esta carpeta. Validación jurídica obligatoria antes de producción.</x:v>
      </x:c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mergeCells>
    <x:mergeCell ref="A2:M2"/>
    <x:mergeCell ref="A3:M3"/>
    <x:mergeCell ref="A29:M29"/>
  </x:mergeCells>
  <x:conditionalFormatting sqref="G9:G26">
    <x:cfRule type="containsText" dxfId="0" priority="1" operator="containsText" text="Pendiente"/>
    <x:cfRule type="containsText" dxfId="1" priority="2" operator="containsText" text="Por validar"/>
    <x:cfRule type="containsText" dxfId="2" priority="3" operator="containsText" text="Parcial"/>
    <x:cfRule type="containsText" dxfId="3" priority="4" operator="containsText" text="Propuesto"/>
    <x:cfRule type="containsText" dxfId="4" priority="5" operator="containsText" text="Existe"/>
    <x:cfRule type="containsText" dxfId="5" priority="6" operator="containsText" text="Cumple"/>
    <x:cfRule type="containsText" dxfId="6" priority="7" operator="containsText" text="No aplica"/>
  </x:conditionalFormatting>
  <x:conditionalFormatting sqref="L9:L26">
    <x:cfRule type="containsText" dxfId="7" priority="8" operator="containsText" text="Crítica"/>
    <x:cfRule type="containsText" dxfId="8" priority="9" operator="containsText" text="Alta"/>
    <x:cfRule type="containsText" dxfId="9" priority="10" operator="containsText" text="Media"/>
    <x:cfRule type="containsText" dxfId="10" priority="11" operator="containsText" text="Baja"/>
  </x:conditionalFormatting>
  <x:dataValidations count="2">
    <x:dataValidation type="list" sqref="G9:G26">
      <x:formula1>"Cumple,Parcial,Pendiente,No aplica,Por validar"</x:formula1>
    </x:dataValidation>
    <x:dataValidation type="list" sqref="L9:L26">
      <x:formula1>"Crítica,Alta,Media,Baja"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486b58787e4cfb"/>
  </x:tableParts>
</x:worksheet>
</file>